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8400" windowHeight="21000" tabRatio="600" firstSheet="0" activeTab="1" autoFilterDateGrouping="1"/>
  </bookViews>
  <sheets>
    <sheet xmlns:r="http://schemas.openxmlformats.org/officeDocument/2006/relationships" name="Resumen" sheetId="1" state="visible" r:id="rId1"/>
    <sheet xmlns:r="http://schemas.openxmlformats.org/officeDocument/2006/relationships" name="Items_Electricos" sheetId="2" state="visible" r:id="rId2"/>
    <sheet xmlns:r="http://schemas.openxmlformats.org/officeDocument/2006/relationships" name="Balance_Cantidades" sheetId="3" state="visible" r:id="rId3"/>
    <sheet xmlns:r="http://schemas.openxmlformats.org/officeDocument/2006/relationships" name="Regulacion_Recalculada" sheetId="4" state="visible" r:id="rId4"/>
    <sheet xmlns:r="http://schemas.openxmlformats.org/officeDocument/2006/relationships" name="Matriz_Observaciones" sheetId="5" state="visible" r:id="rId5"/>
    <sheet xmlns:r="http://schemas.openxmlformats.org/officeDocument/2006/relationships" name="Lista_Verificacion" sheetId="6" state="visible" r:id="rId6"/>
    <sheet xmlns:r="http://schemas.openxmlformats.org/officeDocument/2006/relationships" name="Formato_Blanco" sheetId="7" state="visible" r:id="rId7"/>
    <sheet xmlns:r="http://schemas.openxmlformats.org/officeDocument/2006/relationships" name="Documentos" sheetId="8" state="visible" r:id="rId8"/>
    <sheet xmlns:r="http://schemas.openxmlformats.org/officeDocument/2006/relationships" name="Listas" sheetId="9" state="visible" r:id="rId9"/>
  </sheets>
  <definedNames>
    <definedName name="_xlnm._FilterDatabase" localSheetId="1" hidden="1">'Items_Electricos'!$A$4:$W$100</definedName>
    <definedName name="_xlnm._FilterDatabase" localSheetId="4" hidden="1">'Matriz_Observaciones'!$A$4:$R$69</definedName>
    <definedName name="_xlnm._FilterDatabase" localSheetId="6" hidden="1">'Formato_Blanco'!$A$4:$R$204</definedName>
  </definedNames>
  <calcPr calcId="191029" fullCalcOnLoad="1"/>
</workbook>
</file>

<file path=xl/styles.xml><?xml version="1.0" encoding="utf-8"?>
<styleSheet xmlns="http://schemas.openxmlformats.org/spreadsheetml/2006/main">
  <numFmts count="7">
    <numFmt numFmtId="164" formatCode="&quot;$&quot;#,##0"/>
    <numFmt numFmtId="165" formatCode="#,##0.0;[Red]\-#,##0.0;&quot;-&quot;"/>
    <numFmt numFmtId="166" formatCode="#,##0;[Red]\-#,##0;&quot;-&quot;"/>
    <numFmt numFmtId="167" formatCode="0.0%"/>
    <numFmt numFmtId="168" formatCode="dd/mm/yyyy"/>
    <numFmt numFmtId="169" formatCode="#,##0.0;[Red]-#,##0.0;&quot;-&quot;"/>
    <numFmt numFmtId="170" formatCode="#,##0;[Red]-#,##0;&quot;-&quot;"/>
  </numFmts>
  <fonts count="14">
    <font>
      <name val="Calibri"/>
      <family val="2"/>
      <color theme="1"/>
      <sz val="11"/>
      <scheme val="minor"/>
    </font>
    <font>
      <name val="Arial"/>
      <family val="2"/>
      <b val="1"/>
      <sz val="10"/>
    </font>
    <font>
      <name val="Arial"/>
      <family val="2"/>
      <sz val="10"/>
    </font>
    <font>
      <name val="Arial"/>
      <family val="2"/>
      <b val="1"/>
      <color rgb="FFC00000"/>
      <sz val="14"/>
    </font>
    <font>
      <name val="Arial"/>
      <family val="2"/>
      <color rgb="FF595959"/>
      <sz val="9"/>
    </font>
    <font>
      <name val="Arial"/>
      <family val="2"/>
      <b val="1"/>
      <color rgb="FFFFFFFF"/>
      <sz val="10"/>
    </font>
    <font>
      <name val="Arial"/>
      <family val="2"/>
      <i val="1"/>
      <sz val="9"/>
    </font>
    <font>
      <name val="Arial"/>
      <family val="2"/>
      <b val="1"/>
      <color rgb="FFC00000"/>
      <sz val="11"/>
    </font>
    <font>
      <name val="Arial"/>
      <family val="2"/>
      <b val="1"/>
      <sz val="12"/>
    </font>
    <font>
      <name val="Arial"/>
      <b val="1"/>
      <color rgb="00FFFFFF"/>
      <sz val="10"/>
    </font>
    <font>
      <name val="Arial"/>
      <sz val="10"/>
    </font>
    <font>
      <name val="Arial"/>
      <b val="1"/>
      <sz val="10"/>
    </font>
    <font>
      <name val="Arial"/>
      <b val="1"/>
      <color rgb="00C00000"/>
      <sz val="11"/>
    </font>
    <font>
      <name val="Arial"/>
      <i val="1"/>
      <sz val="9"/>
    </font>
  </fonts>
  <fills count="10">
    <fill>
      <patternFill/>
    </fill>
    <fill>
      <patternFill patternType="gray125"/>
    </fill>
    <fill>
      <patternFill patternType="solid">
        <fgColor rgb="FFC00000"/>
      </patternFill>
    </fill>
    <fill>
      <patternFill patternType="solid">
        <fgColor rgb="FFFFF2CC"/>
      </patternFill>
    </fill>
    <fill>
      <patternFill patternType="solid">
        <fgColor rgb="FF3A3A3A"/>
      </patternFill>
    </fill>
    <fill>
      <patternFill patternType="solid">
        <fgColor rgb="FFF2F2F2"/>
      </patternFill>
    </fill>
    <fill>
      <patternFill patternType="solid">
        <fgColor rgb="FFFFFF00"/>
        <bgColor indexed="64"/>
      </patternFill>
    </fill>
    <fill>
      <patternFill patternType="solid">
        <fgColor rgb="00C00000"/>
      </patternFill>
    </fill>
    <fill>
      <patternFill patternType="solid">
        <fgColor rgb="00FFF2CC"/>
      </patternFill>
    </fill>
    <fill>
      <patternFill patternType="solid">
        <fgColor rgb="00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6">
    <xf numFmtId="0" fontId="0" fillId="0" borderId="0" pivotButton="0" quotePrefix="0" xfId="0"/>
    <xf numFmtId="0" fontId="3" fillId="0" borderId="0" pivotButton="0" quotePrefix="0" xfId="0"/>
    <xf numFmtId="0" fontId="4" fillId="0" borderId="0" pivotButton="0" quotePrefix="0" xfId="0"/>
    <xf numFmtId="0" fontId="1" fillId="5" borderId="1" pivotButton="0" quotePrefix="0" xfId="0"/>
    <xf numFmtId="0" fontId="2" fillId="0" borderId="1" applyAlignment="1" pivotButton="0" quotePrefix="0" xfId="0">
      <alignment vertical="top" wrapText="1"/>
    </xf>
    <xf numFmtId="164" fontId="2" fillId="0" borderId="1" applyAlignment="1" pivotButton="0" quotePrefix="0" xfId="0">
      <alignment vertical="top" wrapText="1"/>
    </xf>
    <xf numFmtId="0" fontId="7" fillId="0" borderId="0" pivotButton="0" quotePrefix="0" xfId="0"/>
    <xf numFmtId="0" fontId="5"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left"/>
    </xf>
    <xf numFmtId="0" fontId="1" fillId="0" borderId="0" pivotButton="0" quotePrefix="0" xfId="0"/>
    <xf numFmtId="0" fontId="1" fillId="0" borderId="0" applyAlignment="1" pivotButton="0" quotePrefix="0" xfId="0">
      <alignment horizontal="left"/>
    </xf>
    <xf numFmtId="164" fontId="8" fillId="0" borderId="0" applyAlignment="1" pivotButton="0" quotePrefix="0" xfId="0">
      <alignment horizontal="left"/>
    </xf>
    <xf numFmtId="0" fontId="6" fillId="0" borderId="0" pivotButton="0" quotePrefix="0" xfId="0"/>
    <xf numFmtId="0" fontId="2" fillId="0" borderId="0" pivotButton="0" quotePrefix="0" xfId="0"/>
    <xf numFmtId="164" fontId="1" fillId="0" borderId="0" applyAlignment="1" pivotButton="0" quotePrefix="0" xfId="0">
      <alignment horizontal="left"/>
    </xf>
    <xf numFmtId="0" fontId="5" fillId="4" borderId="0" pivotButton="0" quotePrefix="0" xfId="0"/>
    <xf numFmtId="0" fontId="0" fillId="4" borderId="0" pivotButton="0" quotePrefix="0" xfId="0"/>
    <xf numFmtId="165" fontId="2" fillId="0" borderId="1" applyAlignment="1" pivotButton="0" quotePrefix="0" xfId="0">
      <alignment vertical="top" wrapText="1"/>
    </xf>
    <xf numFmtId="166" fontId="2" fillId="0" borderId="1" applyAlignment="1" pivotButton="0" quotePrefix="0" xfId="0">
      <alignment vertical="top" wrapText="1"/>
    </xf>
    <xf numFmtId="165" fontId="2" fillId="3" borderId="1" applyAlignment="1" pivotButton="0" quotePrefix="0" xfId="0">
      <alignment vertical="top" wrapText="1"/>
    </xf>
    <xf numFmtId="0" fontId="0" fillId="5" borderId="1" pivotButton="0" quotePrefix="0" xfId="0"/>
    <xf numFmtId="166" fontId="1" fillId="5" borderId="1" pivotButton="0" quotePrefix="0" xfId="0"/>
    <xf numFmtId="166" fontId="2" fillId="3" borderId="1" applyAlignment="1" pivotButton="0" quotePrefix="0" xfId="0">
      <alignment vertical="top" wrapText="1"/>
    </xf>
    <xf numFmtId="166" fontId="1" fillId="0" borderId="0" pivotButton="0" quotePrefix="0" xfId="0"/>
    <xf numFmtId="0" fontId="2" fillId="3" borderId="1" applyAlignment="1" pivotButton="0" quotePrefix="0" xfId="0">
      <alignment vertical="top" wrapText="1"/>
    </xf>
    <xf numFmtId="0" fontId="0" fillId="3" borderId="1" pivotButton="0" quotePrefix="0" xfId="0"/>
    <xf numFmtId="167" fontId="0" fillId="3" borderId="1" pivotButton="0" quotePrefix="0" xfId="0"/>
    <xf numFmtId="3"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168" fontId="2" fillId="3" borderId="1" applyAlignment="1" pivotButton="0" quotePrefix="0" xfId="0">
      <alignment vertical="top" wrapText="1"/>
    </xf>
    <xf numFmtId="165" fontId="2" fillId="6" borderId="1" applyAlignment="1" pivotButton="0" quotePrefix="0" xfId="0">
      <alignment vertical="top" wrapText="1"/>
    </xf>
    <xf numFmtId="164" fontId="2" fillId="0" borderId="1" applyAlignment="1" pivotButton="0" quotePrefix="0" xfId="0">
      <alignment vertical="top" wrapText="1"/>
    </xf>
    <xf numFmtId="164" fontId="8" fillId="0" borderId="0" applyAlignment="1" pivotButton="0" quotePrefix="0" xfId="0">
      <alignment horizontal="left"/>
    </xf>
    <xf numFmtId="164" fontId="1" fillId="0" borderId="0" applyAlignment="1" pivotButton="0" quotePrefix="0" xfId="0">
      <alignment horizontal="left"/>
    </xf>
    <xf numFmtId="0" fontId="11" fillId="0" borderId="0" pivotButton="0" quotePrefix="0" xfId="0"/>
    <xf numFmtId="164" fontId="11" fillId="0" borderId="0" applyAlignment="1" pivotButton="0" quotePrefix="0" xfId="0">
      <alignment horizontal="left"/>
    </xf>
    <xf numFmtId="0" fontId="9" fillId="7" borderId="2" applyAlignment="1" pivotButton="0" quotePrefix="0" xfId="0">
      <alignment horizontal="center" vertical="center" wrapText="1"/>
    </xf>
    <xf numFmtId="165" fontId="2" fillId="0" borderId="1" applyAlignment="1" pivotButton="0" quotePrefix="0" xfId="0">
      <alignment vertical="top" wrapText="1"/>
    </xf>
    <xf numFmtId="166" fontId="2" fillId="0" borderId="1" applyAlignment="1" pivotButton="0" quotePrefix="0" xfId="0">
      <alignment vertical="top" wrapText="1"/>
    </xf>
    <xf numFmtId="165" fontId="2" fillId="3" borderId="1" applyAlignment="1" pivotButton="0" quotePrefix="0" xfId="0">
      <alignment vertical="top" wrapText="1"/>
    </xf>
    <xf numFmtId="169" fontId="10" fillId="8" borderId="2" applyAlignment="1" pivotButton="0" quotePrefix="0" xfId="0">
      <alignment vertical="top" wrapText="1"/>
    </xf>
    <xf numFmtId="170" fontId="10" fillId="0" borderId="2" applyAlignment="1" pivotButton="0" quotePrefix="0" xfId="0">
      <alignment vertical="top" wrapText="1"/>
    </xf>
    <xf numFmtId="0" fontId="10" fillId="0" borderId="2" applyAlignment="1" pivotButton="0" quotePrefix="0" xfId="0">
      <alignment vertical="top" wrapText="1"/>
    </xf>
    <xf numFmtId="166" fontId="1" fillId="5" borderId="1" pivotButton="0" quotePrefix="0" xfId="0"/>
    <xf numFmtId="0" fontId="0" fillId="9" borderId="2" pivotButton="0" quotePrefix="0" xfId="0"/>
    <xf numFmtId="170" fontId="11" fillId="9" borderId="2" pivotButton="0" quotePrefix="0" xfId="0"/>
    <xf numFmtId="165" fontId="2" fillId="6" borderId="1" applyAlignment="1" pivotButton="0" quotePrefix="0" xfId="0">
      <alignment vertical="top" wrapText="1"/>
    </xf>
    <xf numFmtId="166" fontId="2" fillId="3" borderId="1" applyAlignment="1" pivotButton="0" quotePrefix="0" xfId="0">
      <alignment vertical="top" wrapText="1"/>
    </xf>
    <xf numFmtId="166" fontId="1" fillId="0" borderId="0" pivotButton="0" quotePrefix="0" xfId="0"/>
    <xf numFmtId="0" fontId="12" fillId="0" borderId="0" pivotButton="0" quotePrefix="0" xfId="0"/>
    <xf numFmtId="0" fontId="11" fillId="9" borderId="0" applyAlignment="1" pivotButton="0" quotePrefix="0" xfId="0">
      <alignment vertical="top" wrapText="1"/>
    </xf>
    <xf numFmtId="0" fontId="13" fillId="0" borderId="0" pivotButton="0" quotePrefix="0" xfId="0"/>
    <xf numFmtId="167" fontId="0" fillId="3" borderId="1" pivotButton="0" quotePrefix="0" xfId="0"/>
    <xf numFmtId="168" fontId="2" fillId="3" borderId="1" applyAlignment="1" pivotButton="0" quotePrefix="0" xfId="0">
      <alignment vertical="top" wrapText="1"/>
    </xf>
  </cellXfs>
  <cellStyles count="1">
    <cellStyle name="Normal" xfId="0" builtinId="0"/>
  </cellStyles>
  <dxfs count="23">
    <dxf>
      <fill>
        <patternFill patternType="solid">
          <fgColor rgb="FFFFE699"/>
          <bgColor rgb="FFFFE699"/>
        </patternFill>
      </fill>
    </dxf>
    <dxf>
      <fill>
        <patternFill patternType="solid">
          <fgColor rgb="FFC6E0B4"/>
          <bgColor rgb="FFC6E0B4"/>
        </patternFill>
      </fill>
    </dxf>
    <dxf>
      <fill>
        <patternFill patternType="solid">
          <fgColor rgb="FFF8CBAD"/>
          <bgColor rgb="FFF8CBAD"/>
        </patternFill>
      </fill>
    </dxf>
    <dxf>
      <fill>
        <patternFill patternType="solid">
          <fgColor rgb="FFFCE4D6"/>
          <bgColor rgb="FFFCE4D6"/>
        </patternFill>
      </fill>
    </dxf>
    <dxf>
      <fill>
        <patternFill patternType="solid">
          <fgColor rgb="FFC6E0B4"/>
          <bgColor rgb="FFC6E0B4"/>
        </patternFill>
      </fill>
    </dxf>
    <dxf>
      <font>
        <b val="1"/>
        <color rgb="FFC00000"/>
      </font>
    </dxf>
    <dxf>
      <fill>
        <patternFill patternType="solid">
          <fgColor rgb="FFE2EFDA"/>
          <bgColor rgb="FFE2EFDA"/>
        </patternFill>
      </fill>
    </dxf>
    <dxf>
      <fill>
        <patternFill patternType="solid">
          <fgColor rgb="FFFFE699"/>
          <bgColor rgb="FFFFE699"/>
        </patternFill>
      </fill>
    </dxf>
    <dxf>
      <fill>
        <patternFill patternType="solid">
          <fgColor rgb="FFF8CBAD"/>
          <bgColor rgb="FFF8CBAD"/>
        </patternFill>
      </fill>
    </dxf>
    <dxf>
      <fill>
        <patternFill patternType="solid">
          <fgColor rgb="FFF4B084"/>
          <bgColor rgb="FFF4B084"/>
        </patternFill>
      </fill>
    </dxf>
    <dxf>
      <fill>
        <patternFill patternType="solid">
          <fgColor rgb="FFC6E0B4"/>
          <bgColor rgb="FFC6E0B4"/>
        </patternFill>
      </fill>
    </dxf>
    <dxf>
      <fill>
        <patternFill patternType="solid">
          <fgColor rgb="FFC6E0B4"/>
          <bgColor rgb="FFC6E0B4"/>
        </patternFill>
      </fill>
    </dxf>
    <dxf>
      <fill>
        <patternFill patternType="solid">
          <fgColor rgb="FFF8CBAD"/>
          <bgColor rgb="FFF8CBAD"/>
        </patternFill>
      </fill>
    </dxf>
    <dxf>
      <fill>
        <patternFill patternType="solid">
          <fgColor rgb="FFC6E0B4"/>
          <bgColor rgb="FFC6E0B4"/>
        </patternFill>
      </fill>
    </dxf>
    <dxf>
      <fill>
        <patternFill patternType="solid">
          <fgColor rgb="FFF8CBAD"/>
          <bgColor rgb="FFF8CBAD"/>
        </patternFill>
      </fill>
    </dxf>
    <dxf>
      <fill>
        <patternFill patternType="solid">
          <fgColor rgb="FFEDEDED"/>
          <bgColor rgb="FFEDEDED"/>
        </patternFill>
      </fill>
    </dxf>
    <dxf>
      <fill>
        <patternFill patternType="solid">
          <fgColor rgb="FFBDD7EE"/>
          <bgColor rgb="FFBDD7EE"/>
        </patternFill>
      </fill>
    </dxf>
    <dxf>
      <fill>
        <patternFill patternType="solid">
          <fgColor rgb="FFFFE699"/>
          <bgColor rgb="FFFFE699"/>
        </patternFill>
      </fill>
    </dxf>
    <dxf>
      <fill>
        <patternFill patternType="solid">
          <fgColor rgb="FFF4B084"/>
          <bgColor rgb="FFF4B084"/>
        </patternFill>
      </fill>
    </dxf>
    <dxf>
      <fill>
        <patternFill patternType="solid">
          <fgColor rgb="FFF8CBAD"/>
          <bgColor rgb="FFF8CBAD"/>
        </patternFill>
      </fill>
    </dxf>
    <dxf>
      <fill>
        <patternFill patternType="solid">
          <fgColor rgb="FFC6E0B4"/>
          <bgColor rgb="FFC6E0B4"/>
        </patternFill>
      </fill>
    </dxf>
    <dxf>
      <fill>
        <patternFill patternType="solid">
          <fgColor rgb="00C6E0B4"/>
          <bgColor rgb="00C6E0B4"/>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7.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8.xml><?xml version="1.0" encoding="utf-8"?>
<wsDr xmlns="http://schemas.openxmlformats.org/drawingml/2006/spreadsheetDrawing">
  <oneCellAnchor>
    <from>
      <col>0</col>
      <colOff>0</colOff>
      <row>0</row>
      <rowOff>0</rowOff>
    </from>
    <ext cx="1847850" cy="4953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fitToPage="1"/>
  </sheetPr>
  <dimension ref="A1:D62"/>
  <sheetViews>
    <sheetView showGridLines="0" topLeftCell="A21" workbookViewId="0">
      <selection activeCell="B54" sqref="B54"/>
    </sheetView>
  </sheetViews>
  <sheetFormatPr baseColWidth="10" defaultColWidth="8.83203125" defaultRowHeight="15"/>
  <cols>
    <col width="30" customWidth="1" min="1" max="1"/>
    <col width="62" customWidth="1" min="2" max="2"/>
    <col width="16" customWidth="1" min="3" max="7"/>
  </cols>
  <sheetData>
    <row r="1" ht="22" customHeight="1">
      <c r="D1" s="1" t="inlineStr">
        <is>
          <t>REVISIÓN TÉCNICA ELÉCTRICA – INTERVENTORÍA</t>
        </is>
      </c>
    </row>
    <row r="2" ht="22" customHeight="1">
      <c r="D2" s="2" t="inlineStr">
        <is>
          <t>Instituto Distrital de Deporte y Recreación – IDER</t>
        </is>
      </c>
    </row>
    <row r="4">
      <c r="A4" s="3" t="inlineStr">
        <is>
          <t>Objeto</t>
        </is>
      </c>
      <c r="B4" s="4" t="inlineStr">
        <is>
          <t>Construcción de la Unidad Deportiva de Bayunca, Distrito de Cartagena</t>
        </is>
      </c>
    </row>
    <row r="5">
      <c r="A5" s="3" t="inlineStr">
        <is>
          <t>Contrato</t>
        </is>
      </c>
      <c r="B5" s="4" t="inlineStr">
        <is>
          <t>1376-2025 Lote 2</t>
        </is>
      </c>
    </row>
    <row r="6">
      <c r="A6" s="3" t="inlineStr">
        <is>
          <t>Contratista</t>
        </is>
      </c>
      <c r="B6" s="4" t="inlineStr">
        <is>
          <t>Consorcio Deport Rev-Bayunca (NIT 902016322-9)</t>
        </is>
      </c>
    </row>
    <row r="7">
      <c r="A7" s="3" t="inlineStr">
        <is>
          <t>Valor del contrato</t>
        </is>
      </c>
      <c r="B7" s="33" t="n">
        <v>13986669360.08</v>
      </c>
    </row>
    <row r="8">
      <c r="A8" s="3" t="inlineStr">
        <is>
          <t>Fecha de inicio / terminación</t>
        </is>
      </c>
      <c r="B8" s="4" t="inlineStr">
        <is>
          <t>26-01-2026 / 26-09-2026</t>
        </is>
      </c>
    </row>
    <row r="9">
      <c r="A9" s="3" t="inlineStr">
        <is>
          <t>Acta revisada</t>
        </is>
      </c>
      <c r="B9" s="4" t="inlineStr">
        <is>
          <t>Mayores y menores cantidades e ítems nuevos (corte 15-10-26)</t>
        </is>
      </c>
    </row>
    <row r="10">
      <c r="A10" s="3" t="inlineStr">
        <is>
          <t>Interventor eléctrico</t>
        </is>
      </c>
      <c r="B10" s="4" t="inlineStr">
        <is>
          <t>[Nombre y matrícula profesional]</t>
        </is>
      </c>
    </row>
    <row r="11">
      <c r="A11" s="3" t="inlineStr">
        <is>
          <t>Fecha de revisión</t>
        </is>
      </c>
      <c r="B11" s="4" t="inlineStr">
        <is>
          <t>29-10-2026</t>
        </is>
      </c>
    </row>
    <row r="14">
      <c r="A14" s="6" t="inlineStr">
        <is>
          <t>Resumen por tipo de hallazgo</t>
        </is>
      </c>
    </row>
    <row r="15" ht="32" customHeight="1">
      <c r="A15" s="7" t="inlineStr">
        <is>
          <t>Tipo</t>
        </is>
      </c>
      <c r="B15" s="7" t="inlineStr">
        <is>
          <t>Cantidad</t>
        </is>
      </c>
    </row>
    <row r="16">
      <c r="A16" s="8" t="inlineStr">
        <is>
          <t>Concordancia</t>
        </is>
      </c>
      <c r="B16" s="9">
        <f>COUNTIF(Matriz_Observaciones!$E$5:$E$400,A16)</f>
        <v/>
      </c>
    </row>
    <row r="17">
      <c r="A17" s="8" t="inlineStr">
        <is>
          <t>Discrepancia</t>
        </is>
      </c>
      <c r="B17" s="9">
        <f>COUNTIF(Matriz_Observaciones!$E$5:$E$400,A17)</f>
        <v/>
      </c>
    </row>
    <row r="18">
      <c r="A18" s="8" t="inlineStr">
        <is>
          <t>Incumplimiento normativo</t>
        </is>
      </c>
      <c r="B18" s="9">
        <f>COUNTIF(Matriz_Observaciones!$E$5:$E$400,A18)</f>
        <v/>
      </c>
    </row>
    <row r="19">
      <c r="A19" s="8" t="inlineStr">
        <is>
          <t>Información faltante</t>
        </is>
      </c>
      <c r="B19" s="9">
        <f>COUNTIF(Matriz_Observaciones!$E$5:$E$400,A19)</f>
        <v/>
      </c>
    </row>
    <row r="20">
      <c r="A20" s="8" t="inlineStr">
        <is>
          <t>Verificar</t>
        </is>
      </c>
      <c r="B20" s="9">
        <f>COUNTIF(Matriz_Observaciones!$E$5:$E$400,A20)</f>
        <v/>
      </c>
    </row>
    <row r="21">
      <c r="A21" s="10" t="inlineStr">
        <is>
          <t>Total</t>
        </is>
      </c>
      <c r="B21" s="11">
        <f>SUM(B16:B20)</f>
        <v/>
      </c>
    </row>
    <row r="23">
      <c r="A23" s="6" t="inlineStr">
        <is>
          <t>Observaciones abiertas por criticidad</t>
        </is>
      </c>
    </row>
    <row r="24" ht="32" customHeight="1">
      <c r="A24" s="7" t="inlineStr">
        <is>
          <t>Criticidad</t>
        </is>
      </c>
      <c r="B24" s="7" t="inlineStr">
        <is>
          <t>Abiertas (no concordancias)</t>
        </is>
      </c>
    </row>
    <row r="25">
      <c r="A25" s="8" t="inlineStr">
        <is>
          <t>Alta</t>
        </is>
      </c>
      <c r="B25" s="9">
        <f>COUNTIFS(Matriz_Observaciones!$J$5:$J$400,A25,Matriz_Observaciones!$O$5:$O$400,"&lt;&gt;Cerrada",Matriz_Observaciones!$O$5:$O$400,"&lt;&gt;No aplica",Matriz_Observaciones!$E$5:$E$400,"&lt;&gt;Concordancia")</f>
        <v/>
      </c>
    </row>
    <row r="26">
      <c r="A26" s="8" t="inlineStr">
        <is>
          <t>Media</t>
        </is>
      </c>
      <c r="B26" s="9">
        <f>COUNTIFS(Matriz_Observaciones!$J$5:$J$400,A26,Matriz_Observaciones!$O$5:$O$400,"&lt;&gt;Cerrada",Matriz_Observaciones!$O$5:$O$400,"&lt;&gt;No aplica",Matriz_Observaciones!$E$5:$E$400,"&lt;&gt;Concordancia")</f>
        <v/>
      </c>
    </row>
    <row r="27">
      <c r="A27" s="8" t="inlineStr">
        <is>
          <t>Baja</t>
        </is>
      </c>
      <c r="B27" s="9">
        <f>COUNTIFS(Matriz_Observaciones!$J$5:$J$400,A27,Matriz_Observaciones!$O$5:$O$400,"&lt;&gt;Cerrada",Matriz_Observaciones!$O$5:$O$400,"&lt;&gt;No aplica",Matriz_Observaciones!$E$5:$E$400,"&lt;&gt;Concordancia")</f>
        <v/>
      </c>
    </row>
    <row r="29">
      <c r="A29" s="6" t="inlineStr">
        <is>
          <t>Resumen por estado</t>
        </is>
      </c>
    </row>
    <row r="30" ht="32" customHeight="1">
      <c r="A30" s="7" t="inlineStr">
        <is>
          <t>Estado</t>
        </is>
      </c>
      <c r="B30" s="7" t="inlineStr">
        <is>
          <t>Cantidad</t>
        </is>
      </c>
    </row>
    <row r="31">
      <c r="A31" s="8" t="inlineStr">
        <is>
          <t>Abierta</t>
        </is>
      </c>
      <c r="B31" s="9">
        <f>COUNTIF(Matriz_Observaciones!$O$5:$O$400,A31)</f>
        <v/>
      </c>
    </row>
    <row r="32">
      <c r="A32" s="8" t="inlineStr">
        <is>
          <t>Respondida</t>
        </is>
      </c>
      <c r="B32" s="9">
        <f>COUNTIF(Matriz_Observaciones!$O$5:$O$400,A32)</f>
        <v/>
      </c>
    </row>
    <row r="33">
      <c r="A33" s="8" t="inlineStr">
        <is>
          <t>En revisión</t>
        </is>
      </c>
      <c r="B33" s="9">
        <f>COUNTIF(Matriz_Observaciones!$O$5:$O$400,A33)</f>
        <v/>
      </c>
    </row>
    <row r="34">
      <c r="A34" s="8" t="inlineStr">
        <is>
          <t>Cerrada</t>
        </is>
      </c>
      <c r="B34" s="9">
        <f>COUNTIF(Matriz_Observaciones!$O$5:$O$400,A34)</f>
        <v/>
      </c>
    </row>
    <row r="35">
      <c r="A35" s="8" t="inlineStr">
        <is>
          <t>No aplica</t>
        </is>
      </c>
      <c r="B35" s="9">
        <f>COUNTIF(Matriz_Observaciones!$O$5:$O$400,A35)</f>
        <v/>
      </c>
    </row>
    <row r="37" ht="16" customHeight="1">
      <c r="A37" s="6" t="inlineStr">
        <is>
          <t>Valor no sustentado estimado (COP)</t>
        </is>
      </c>
      <c r="B37" s="34">
        <f>SUM(Matriz_Observaciones!K5:K400)</f>
        <v/>
      </c>
    </row>
    <row r="38">
      <c r="A38" s="13" t="inlineStr">
        <is>
          <t>Suma de las observaciones con valor. Es una estimación conservadora y no incluye sobreprecios sin cuantificar ni ítems faltantes.</t>
        </is>
      </c>
    </row>
    <row r="40">
      <c r="A40" s="6" t="inlineStr">
        <is>
          <t>Contenido del libro</t>
        </is>
      </c>
    </row>
    <row r="41">
      <c r="A41" s="10" t="inlineStr">
        <is>
          <t>Items_Electricos</t>
        </is>
      </c>
      <c r="B41" s="14" t="inlineStr">
        <is>
          <t>Ítems eléctricos del acta con revisión por ítem e ítems faltantes (hoja prioritaria)</t>
        </is>
      </c>
    </row>
    <row r="42">
      <c r="A42" s="10" t="inlineStr">
        <is>
          <t>Matriz_Observaciones</t>
        </is>
      </c>
      <c r="B42" s="14" t="inlineStr">
        <is>
          <t>Hallazgos con norma, criticidad, acción exigida y seguimiento</t>
        </is>
      </c>
    </row>
    <row r="43">
      <c r="A43" s="10" t="inlineStr">
        <is>
          <t>Balance_Cantidades</t>
        </is>
      </c>
      <c r="B43" s="14" t="inlineStr">
        <is>
          <t>Cantidades del acta vs planos / cálculo / unifilar y valor no sustentado</t>
        </is>
      </c>
    </row>
    <row r="44">
      <c r="A44" s="10" t="inlineStr">
        <is>
          <t>Regulacion_Recalculada</t>
        </is>
      </c>
      <c r="B44" s="14" t="inlineStr">
        <is>
          <t>Caída de tensión recalculada con parámetros editables</t>
        </is>
      </c>
    </row>
    <row r="45">
      <c r="A45" s="10" t="inlineStr">
        <is>
          <t>Lista_Verificacion</t>
        </is>
      </c>
      <c r="B45" s="14" t="inlineStr">
        <is>
          <t>Formato reutilizable de revisión de proyectos eléctricos</t>
        </is>
      </c>
    </row>
    <row r="46">
      <c r="A46" s="10" t="inlineStr">
        <is>
          <t>Formato_Blanco</t>
        </is>
      </c>
      <c r="B46" s="14" t="inlineStr">
        <is>
          <t>Matriz vacía para un nuevo proyecto</t>
        </is>
      </c>
    </row>
    <row r="47">
      <c r="A47" s="10" t="inlineStr">
        <is>
          <t>Documentos</t>
        </is>
      </c>
      <c r="B47" s="14" t="inlineStr">
        <is>
          <t>Control de documentos revisados y pendientes</t>
        </is>
      </c>
    </row>
    <row r="48">
      <c r="A48" s="10" t="inlineStr">
        <is>
          <t>Listas</t>
        </is>
      </c>
      <c r="B48" s="14" t="inlineStr">
        <is>
          <t>Listas desplegables</t>
        </is>
      </c>
    </row>
    <row r="50">
      <c r="A50" s="6" t="inlineStr">
        <is>
          <t>Estado de los ítems eléctricos</t>
        </is>
      </c>
    </row>
    <row r="51" ht="32" customHeight="1">
      <c r="A51" s="7" t="inlineStr">
        <is>
          <t>Estado</t>
        </is>
      </c>
      <c r="B51" s="7" t="inlineStr">
        <is>
          <t>Cantidad</t>
        </is>
      </c>
    </row>
    <row r="52">
      <c r="A52" s="8" t="inlineStr">
        <is>
          <t>Concuerda</t>
        </is>
      </c>
      <c r="B52" s="9">
        <f>COUNTIF(Items_Electricos!$O$5:$O$195,A52)</f>
        <v/>
      </c>
    </row>
    <row r="53">
      <c r="A53" s="8" t="inlineStr">
        <is>
          <t>Discrepa</t>
        </is>
      </c>
      <c r="B53" s="9">
        <f>COUNTIF(Items_Electricos!$O$5:$O$195,A53)</f>
        <v/>
      </c>
    </row>
    <row r="54">
      <c r="A54" s="8" t="inlineStr">
        <is>
          <t>Sin respaldo</t>
        </is>
      </c>
      <c r="B54" s="9">
        <f>COUNTIF(Items_Electricos!$O$5:$O$195,A54)</f>
        <v/>
      </c>
    </row>
    <row r="55">
      <c r="A55" s="8" t="inlineStr">
        <is>
          <t>Verificar</t>
        </is>
      </c>
      <c r="B55" s="9">
        <f>COUNTIF(Items_Electricos!$O$5:$O$195,A55)</f>
        <v/>
      </c>
    </row>
    <row r="56">
      <c r="A56" s="8" t="inlineStr">
        <is>
          <t>Ítem faltante</t>
        </is>
      </c>
      <c r="B56" s="9">
        <f>COUNTIF(Items_Electricos!$O$5:$O$195,A56)</f>
        <v/>
      </c>
    </row>
    <row r="57">
      <c r="A57" s="8" t="inlineStr">
        <is>
          <t>Retirado / reemplazado</t>
        </is>
      </c>
      <c r="B57" s="9">
        <f>COUNTIF(Items_Electricos!$O$5:$O$195,A57)</f>
        <v/>
      </c>
    </row>
    <row r="59">
      <c r="A59" s="10" t="inlineStr">
        <is>
          <t>No sustentado (ítems)</t>
        </is>
      </c>
      <c r="B59" s="35">
        <f>Items_Electricos!M97</f>
        <v/>
      </c>
    </row>
    <row r="61">
      <c r="A61" s="36" t="inlineStr">
        <is>
          <t>Balance ajustado (ítems eléctricos)</t>
        </is>
      </c>
      <c r="B61" s="37">
        <f>Items_Electricos!U107</f>
        <v/>
      </c>
    </row>
    <row r="62">
      <c r="A62" s="36" t="inlineStr">
        <is>
          <t>Pendiente de validar</t>
        </is>
      </c>
      <c r="B62" s="37">
        <f>Items_Electricos!U109</f>
        <v/>
      </c>
    </row>
  </sheetData>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W111"/>
  <sheetViews>
    <sheetView showGridLines="0" tabSelected="1" workbookViewId="0">
      <pane xSplit="3" ySplit="4" topLeftCell="D5" activePane="bottomRight" state="frozen"/>
      <selection pane="topRight" activeCell="A1" sqref="A1"/>
      <selection pane="bottomLeft" activeCell="A1" sqref="A1"/>
      <selection pane="bottomRight" activeCell="K37" sqref="K37"/>
    </sheetView>
  </sheetViews>
  <sheetFormatPr baseColWidth="10" defaultColWidth="8.83203125" defaultRowHeight="15"/>
  <cols>
    <col width="10" customWidth="1" min="1" max="1"/>
    <col width="14" customWidth="1" min="2" max="2"/>
    <col width="52" customWidth="1" min="3" max="3"/>
    <col width="6" customWidth="1" min="4" max="4"/>
    <col width="11" customWidth="1" min="5" max="5"/>
    <col width="15" customWidth="1" min="6" max="6"/>
    <col width="16" customWidth="1" min="7" max="7"/>
    <col width="7.5" customWidth="1" min="8" max="8"/>
    <col width="12" customWidth="1" min="9" max="9"/>
    <col width="17" customWidth="1" min="10" max="10"/>
    <col width="13" customWidth="1" min="11" max="11"/>
    <col width="15.1640625" customWidth="1" min="12" max="12"/>
    <col width="17" customWidth="1" min="13" max="13"/>
    <col width="16" customWidth="1" min="14" max="16"/>
    <col width="64" customWidth="1" min="17" max="17"/>
    <col width="36" customWidth="1" min="18" max="18"/>
    <col width="14" customWidth="1" min="19" max="19"/>
    <col width="15" customWidth="1" min="20" max="20"/>
    <col width="18" customWidth="1" min="21" max="21"/>
    <col width="18" customWidth="1" min="22" max="22"/>
    <col width="13" customWidth="1" min="23" max="23"/>
  </cols>
  <sheetData>
    <row r="1" ht="22" customHeight="1">
      <c r="D1" s="1" t="inlineStr">
        <is>
          <t>Ítems eléctricos del acta y su revisión</t>
        </is>
      </c>
    </row>
    <row r="2" ht="22" customHeight="1">
      <c r="D2" s="2" t="inlineStr">
        <is>
          <t>Acta de mayores y menores cantidades (corte 15-10-26). Amarillo = referencia editable. Los ítems NUEVO-xx son necesarios y no están en el acta.</t>
        </is>
      </c>
    </row>
    <row r="4" ht="45" customHeight="1">
      <c r="A4" s="7" t="inlineStr">
        <is>
          <t>Ítem</t>
        </is>
      </c>
      <c r="B4" s="7" t="inlineStr">
        <is>
          <t>Grupo</t>
        </is>
      </c>
      <c r="C4" s="7" t="inlineStr">
        <is>
          <t>Descripción (acta)</t>
        </is>
      </c>
      <c r="D4" s="7" t="inlineStr">
        <is>
          <t>Und</t>
        </is>
      </c>
      <c r="E4" s="7" t="inlineStr">
        <is>
          <t>Cant. contrato</t>
        </is>
      </c>
      <c r="F4" s="7" t="inlineStr">
        <is>
          <t>Valor unitario (COP)</t>
        </is>
      </c>
      <c r="G4" s="7" t="inlineStr">
        <is>
          <t>Valor contrato (COP)</t>
        </is>
      </c>
      <c r="H4" s="7" t="inlineStr">
        <is>
          <t>Var.</t>
        </is>
      </c>
      <c r="I4" s="7" t="inlineStr">
        <is>
          <t>Cant. actualizada (acta)</t>
        </is>
      </c>
      <c r="J4" s="7" t="inlineStr">
        <is>
          <t>Valor actualizado (COP)</t>
        </is>
      </c>
      <c r="K4" s="7" t="inlineStr">
        <is>
          <t>Cant. referencia interventoría</t>
        </is>
      </c>
      <c r="L4" s="7" t="inlineStr">
        <is>
          <t>Diferencia (acta − ref.)</t>
        </is>
      </c>
      <c r="M4" s="7" t="inlineStr">
        <is>
          <t>Valor no sustentado (COP)</t>
        </is>
      </c>
      <c r="N4" s="7" t="inlineStr">
        <is>
          <t>Faltante valorizado (COP)</t>
        </is>
      </c>
      <c r="O4" s="7" t="inlineStr">
        <is>
          <t>Estado</t>
        </is>
      </c>
      <c r="P4" s="7" t="inlineStr">
        <is>
          <t>Documento soporte</t>
        </is>
      </c>
      <c r="Q4" s="7" t="inlineStr">
        <is>
          <t>Observación de la interventoría</t>
        </is>
      </c>
      <c r="R4" s="7" t="inlineStr">
        <is>
          <t>Acción exigida</t>
        </is>
      </c>
      <c r="S4" s="7" t="inlineStr">
        <is>
          <t>ID matriz</t>
        </is>
      </c>
      <c r="T4" s="38" t="inlineStr">
        <is>
          <t>Cant. ajustada validada (supervisor)</t>
        </is>
      </c>
      <c r="U4" s="38" t="inlineStr">
        <is>
          <t>Valor total ajustado (COP)</t>
        </is>
      </c>
      <c r="V4" s="38" t="inlineStr">
        <is>
          <t>Variación vs. acta (COP)</t>
        </is>
      </c>
      <c r="W4" s="38" t="inlineStr">
        <is>
          <t>Validación</t>
        </is>
      </c>
    </row>
    <row r="5">
      <c r="A5" s="16" t="inlineStr">
        <is>
          <t>CAPÍTULO 1 – PRELIMINARES (relacionados)</t>
        </is>
      </c>
      <c r="B5" s="17" t="n"/>
      <c r="C5" s="17" t="n"/>
      <c r="D5" s="17" t="n"/>
      <c r="E5" s="17" t="n"/>
      <c r="F5" s="17" t="n"/>
      <c r="G5" s="17" t="n"/>
      <c r="H5" s="17" t="n"/>
      <c r="I5" s="17" t="n"/>
      <c r="J5" s="17" t="n"/>
      <c r="K5" s="17" t="n"/>
      <c r="L5" s="17" t="n"/>
      <c r="M5" s="17" t="n"/>
      <c r="N5" s="17" t="n"/>
      <c r="O5" s="17" t="n"/>
      <c r="P5" s="17" t="n"/>
      <c r="Q5" s="17" t="n"/>
      <c r="R5" s="17" t="n"/>
      <c r="S5" s="17" t="n"/>
    </row>
    <row r="6" ht="28" customHeight="1">
      <c r="A6" s="4" t="inlineStr">
        <is>
          <t>1.4</t>
        </is>
      </c>
      <c r="B6" s="4" t="inlineStr">
        <is>
          <t>Cap 1</t>
        </is>
      </c>
      <c r="C6" s="4" t="inlineStr">
        <is>
          <t>Desmonte de postes electricos existentes.</t>
        </is>
      </c>
      <c r="D6" s="4" t="inlineStr">
        <is>
          <t>UND</t>
        </is>
      </c>
      <c r="E6" s="39" t="n">
        <v>9</v>
      </c>
      <c r="F6" s="40" t="n">
        <v>1228405.214</v>
      </c>
      <c r="G6" s="40">
        <f>E6*F6</f>
        <v/>
      </c>
      <c r="H6" s="4" t="inlineStr">
        <is>
          <t>(-)</t>
        </is>
      </c>
      <c r="I6" s="39" t="n">
        <v>0</v>
      </c>
      <c r="J6" s="40">
        <f>I6*N(F6)</f>
        <v/>
      </c>
      <c r="K6" s="41" t="n"/>
      <c r="L6" s="39" t="n"/>
      <c r="M6" s="40" t="n"/>
      <c r="N6" s="40" t="n"/>
      <c r="O6" s="4" t="inlineStr">
        <is>
          <t>Verificar</t>
        </is>
      </c>
      <c r="P6" s="4" t="inlineStr">
        <is>
          <t>DXF</t>
        </is>
      </c>
      <c r="Q6" s="4" t="inlineStr">
        <is>
          <t>El DXF muestra 6 postes existentes de 11 m con cruceta; el acta pasa el desmonte de 9 a 0.</t>
        </is>
      </c>
      <c r="R6" s="4" t="inlineStr">
        <is>
          <t>Aclarar qué postes se retiran, reubican o conservan.</t>
        </is>
      </c>
      <c r="S6" s="4" t="inlineStr">
        <is>
          <t>OBS-021</t>
        </is>
      </c>
      <c r="T6" s="42">
        <f>I6</f>
        <v/>
      </c>
      <c r="U6" s="43">
        <f>T6*N(F6)</f>
        <v/>
      </c>
      <c r="V6" s="43">
        <f>U6-J6</f>
        <v/>
      </c>
      <c r="W6" s="44" t="inlineStr">
        <is>
          <t>Pendiente</t>
        </is>
      </c>
    </row>
    <row r="7">
      <c r="A7" s="21" t="n"/>
      <c r="B7" s="21" t="n"/>
      <c r="C7" s="3" t="inlineStr">
        <is>
          <t>Subtotal Cap. 1 (eléctricos relacionados)</t>
        </is>
      </c>
      <c r="D7" s="21" t="n"/>
      <c r="E7" s="21" t="n"/>
      <c r="F7" s="21" t="n"/>
      <c r="G7" s="45">
        <f>SUM(G6:G6)</f>
        <v/>
      </c>
      <c r="H7" s="21" t="n"/>
      <c r="I7" s="21" t="n"/>
      <c r="J7" s="45">
        <f>SUM(J6:J6)</f>
        <v/>
      </c>
      <c r="K7" s="21" t="n"/>
      <c r="L7" s="21" t="n"/>
      <c r="M7" s="45">
        <f>SUM(M6:M6)</f>
        <v/>
      </c>
      <c r="N7" s="45">
        <f>SUM(N6:N6)</f>
        <v/>
      </c>
      <c r="O7" s="21" t="n"/>
      <c r="P7" s="21" t="n"/>
      <c r="Q7" s="21" t="n"/>
      <c r="R7" s="21" t="n"/>
      <c r="S7" s="21" t="n"/>
      <c r="T7" s="46" t="n"/>
      <c r="U7" s="47">
        <f>SUM(U6:U6)</f>
        <v/>
      </c>
      <c r="V7" s="47">
        <f>SUM(V6:V6)</f>
        <v/>
      </c>
      <c r="W7" s="46" t="n"/>
    </row>
    <row r="8">
      <c r="A8" s="16" t="inlineStr">
        <is>
          <t>CAPÍTULO 4 – INSTALACIONES ELÉCTRICAS</t>
        </is>
      </c>
      <c r="B8" s="17" t="n"/>
      <c r="C8" s="17" t="n"/>
      <c r="D8" s="17" t="n"/>
      <c r="E8" s="17" t="n"/>
      <c r="F8" s="17" t="n"/>
      <c r="G8" s="17" t="n"/>
      <c r="H8" s="17" t="n"/>
      <c r="I8" s="17" t="n"/>
      <c r="J8" s="17" t="n"/>
      <c r="K8" s="17" t="n"/>
      <c r="L8" s="17" t="n"/>
      <c r="M8" s="17" t="n"/>
      <c r="N8" s="17" t="n"/>
      <c r="O8" s="17" t="n"/>
      <c r="P8" s="17" t="n"/>
      <c r="Q8" s="17" t="n"/>
      <c r="R8" s="17" t="n"/>
      <c r="S8" s="17" t="n"/>
    </row>
    <row r="9" ht="28" customHeight="1">
      <c r="A9" s="4" t="inlineStr">
        <is>
          <t>4.1</t>
        </is>
      </c>
      <c r="B9" s="4" t="inlineStr">
        <is>
          <t>Cap 4</t>
        </is>
      </c>
      <c r="C9" s="4" t="inlineStr">
        <is>
          <t>Adecuacion punto de conexión.</t>
        </is>
      </c>
      <c r="D9" s="4" t="inlineStr">
        <is>
          <t>UND</t>
        </is>
      </c>
      <c r="E9" s="39" t="n">
        <v>1</v>
      </c>
      <c r="F9" s="40" t="n">
        <v>4029892.79901</v>
      </c>
      <c r="G9" s="40">
        <f>E9*F9</f>
        <v/>
      </c>
      <c r="H9" s="4" t="inlineStr">
        <is>
          <t>(=)</t>
        </is>
      </c>
      <c r="I9" s="39" t="n">
        <v>1</v>
      </c>
      <c r="J9" s="40">
        <f>I9*N(F9)</f>
        <v/>
      </c>
      <c r="K9" s="41" t="n"/>
      <c r="L9" s="39" t="n"/>
      <c r="M9" s="40" t="n"/>
      <c r="N9" s="40" t="n"/>
      <c r="O9" s="4" t="inlineStr">
        <is>
          <t>Verificar</t>
        </is>
      </c>
      <c r="P9" s="4" t="inlineStr">
        <is>
          <t>Unifilar</t>
        </is>
      </c>
      <c r="Q9" s="4" t="inlineStr">
        <is>
          <t>Punto de conexión de Afinia con tramo, circuito y subestación "PENDIENTE".</t>
        </is>
      </c>
      <c r="R9" s="4" t="inlineStr">
        <is>
          <t>Entregar factibilidad aprobada con punto de conexión definido.</t>
        </is>
      </c>
      <c r="S9" s="4" t="inlineStr">
        <is>
          <t>OBS-039</t>
        </is>
      </c>
      <c r="T9" s="42">
        <f>I9</f>
        <v/>
      </c>
      <c r="U9" s="43">
        <f>T9*N(F9)</f>
        <v/>
      </c>
      <c r="V9" s="43">
        <f>U9-J9</f>
        <v/>
      </c>
      <c r="W9" s="44" t="inlineStr">
        <is>
          <t>Pendiente</t>
        </is>
      </c>
    </row>
    <row r="10" ht="28" customHeight="1">
      <c r="A10" s="4" t="inlineStr">
        <is>
          <t>4.2</t>
        </is>
      </c>
      <c r="B10" s="4" t="inlineStr">
        <is>
          <t>Cap 4</t>
        </is>
      </c>
      <c r="C10" s="4" t="inlineStr">
        <is>
          <t>Armado red MT doble terminal MT325.</t>
        </is>
      </c>
      <c r="D10" s="4" t="inlineStr">
        <is>
          <t>UND</t>
        </is>
      </c>
      <c r="E10" s="39" t="n">
        <v>1</v>
      </c>
      <c r="F10" s="40" t="n">
        <v>5154192.837690001</v>
      </c>
      <c r="G10" s="40">
        <f>E10*F10</f>
        <v/>
      </c>
      <c r="H10" s="4" t="inlineStr">
        <is>
          <t>(+)</t>
        </is>
      </c>
      <c r="I10" s="39" t="n">
        <v>2</v>
      </c>
      <c r="J10" s="40">
        <f>I10*N(F10)</f>
        <v/>
      </c>
      <c r="K10" s="41" t="n"/>
      <c r="L10" s="39" t="n"/>
      <c r="M10" s="40" t="n"/>
      <c r="N10" s="40" t="n"/>
      <c r="O10" s="4" t="inlineStr">
        <is>
          <t>Verificar</t>
        </is>
      </c>
      <c r="P10" s="4" t="inlineStr">
        <is>
          <t>Unifilar</t>
        </is>
      </c>
      <c r="Q10" s="4" t="inlineStr">
        <is>
          <t>El acta pasa de 1 a 2 armados doble terminal. El unifilar no identifica armados en EPP005 ni EPP007.</t>
        </is>
      </c>
      <c r="R10" s="4" t="inlineStr">
        <is>
          <t>Plano de red MT con armados por apoyo.</t>
        </is>
      </c>
      <c r="S10" s="4" t="inlineStr">
        <is>
          <t>OBS-065</t>
        </is>
      </c>
      <c r="T10" s="42">
        <f>I10</f>
        <v/>
      </c>
      <c r="U10" s="43">
        <f>T10*N(F10)</f>
        <v/>
      </c>
      <c r="V10" s="43">
        <f>U10-J10</f>
        <v/>
      </c>
      <c r="W10" s="44" t="inlineStr">
        <is>
          <t>Pendiente</t>
        </is>
      </c>
    </row>
    <row r="11">
      <c r="A11" s="4" t="inlineStr">
        <is>
          <t>4.3</t>
        </is>
      </c>
      <c r="B11" s="4" t="inlineStr">
        <is>
          <t>Cap 4</t>
        </is>
      </c>
      <c r="C11" s="4" t="inlineStr">
        <is>
          <t>Armado red MT fin de linea MT321.</t>
        </is>
      </c>
      <c r="D11" s="4" t="inlineStr">
        <is>
          <t>UND</t>
        </is>
      </c>
      <c r="E11" s="39" t="n">
        <v>1</v>
      </c>
      <c r="F11" s="40" t="n">
        <v>2750856.851340001</v>
      </c>
      <c r="G11" s="40">
        <f>E11*F11</f>
        <v/>
      </c>
      <c r="H11" s="4" t="inlineStr">
        <is>
          <t>(=)</t>
        </is>
      </c>
      <c r="I11" s="39" t="n">
        <v>1</v>
      </c>
      <c r="J11" s="40">
        <f>I11*N(F11)</f>
        <v/>
      </c>
      <c r="K11" s="41" t="n"/>
      <c r="L11" s="39" t="n"/>
      <c r="M11" s="40" t="n"/>
      <c r="N11" s="40" t="n"/>
      <c r="O11" s="4" t="inlineStr">
        <is>
          <t>Concuerda</t>
        </is>
      </c>
      <c r="P11" s="4" t="inlineStr">
        <is>
          <t>Unifilar</t>
        </is>
      </c>
      <c r="Q11" s="4" t="inlineStr">
        <is>
          <t>Un fin de línea (EPP007) coincide con el unifilar.</t>
        </is>
      </c>
      <c r="R11" s="4" t="inlineStr">
        <is>
          <t>—</t>
        </is>
      </c>
      <c r="S11" s="4" t="n"/>
      <c r="T11" s="42">
        <f>I11</f>
        <v/>
      </c>
      <c r="U11" s="43">
        <f>T11*N(F11)</f>
        <v/>
      </c>
      <c r="V11" s="43">
        <f>U11-J11</f>
        <v/>
      </c>
      <c r="W11" s="44" t="inlineStr">
        <is>
          <t>Validada</t>
        </is>
      </c>
    </row>
    <row r="12" ht="28" customHeight="1">
      <c r="A12" s="4" t="inlineStr">
        <is>
          <t>4.4</t>
        </is>
      </c>
      <c r="B12" s="4" t="inlineStr">
        <is>
          <t>Cap 4</t>
        </is>
      </c>
      <c r="C12" s="4" t="inlineStr">
        <is>
          <t>Suministro e instalacion de red monofasica 2H ACSR 1/0 XLPE ecologico.</t>
        </is>
      </c>
      <c r="D12" s="4" t="inlineStr">
        <is>
          <t>M</t>
        </is>
      </c>
      <c r="E12" s="39" t="n">
        <v>45</v>
      </c>
      <c r="F12" s="40" t="n">
        <v>85482.72017999999</v>
      </c>
      <c r="G12" s="40">
        <f>E12*F12</f>
        <v/>
      </c>
      <c r="H12" s="4" t="inlineStr">
        <is>
          <t>(+)</t>
        </is>
      </c>
      <c r="I12" s="39" t="n">
        <v>137</v>
      </c>
      <c r="J12" s="40">
        <f>I12*N(F12)</f>
        <v/>
      </c>
      <c r="K12" s="41" t="n"/>
      <c r="L12" s="39" t="n"/>
      <c r="M12" s="40" t="n"/>
      <c r="N12" s="40" t="n"/>
      <c r="O12" s="4" t="inlineStr">
        <is>
          <t>Discrepa</t>
        </is>
      </c>
      <c r="P12" s="4" t="inlineStr">
        <is>
          <t>Unifilar</t>
        </is>
      </c>
      <c r="Q12" s="4" t="inlineStr">
        <is>
          <t>Acta: ACSR 1/0 XLPE 2H, 137 m. Unifilar: conductor 123,3 AAAC con vano sin acotar.</t>
        </is>
      </c>
      <c r="R12" s="4" t="inlineStr">
        <is>
          <t>Unificar conductor y acotar vanos.</t>
        </is>
      </c>
      <c r="S12" s="4" t="inlineStr">
        <is>
          <t>OBS-042</t>
        </is>
      </c>
      <c r="T12" s="42">
        <f>I12</f>
        <v/>
      </c>
      <c r="U12" s="43">
        <f>T12*N(F12)</f>
        <v/>
      </c>
      <c r="V12" s="43">
        <f>U12-J12</f>
        <v/>
      </c>
      <c r="W12" s="44" t="inlineStr">
        <is>
          <t>Pendiente</t>
        </is>
      </c>
    </row>
    <row r="13" ht="28" customHeight="1">
      <c r="A13" s="4" t="inlineStr">
        <is>
          <t>4.5</t>
        </is>
      </c>
      <c r="B13" s="4" t="inlineStr">
        <is>
          <t>Cap 4</t>
        </is>
      </c>
      <c r="C13" s="4" t="inlineStr">
        <is>
          <t>Suministro e instalacion de poste de concreto de 12x1050kg, incluye transporte, hincado, aplomado y cimentación.</t>
        </is>
      </c>
      <c r="D13" s="4" t="inlineStr">
        <is>
          <t>UND</t>
        </is>
      </c>
      <c r="E13" s="39" t="n">
        <v>1</v>
      </c>
      <c r="F13" s="40" t="n">
        <v>7109157.004169999</v>
      </c>
      <c r="G13" s="40">
        <f>E13*F13</f>
        <v/>
      </c>
      <c r="H13" s="4" t="inlineStr">
        <is>
          <t>(-)</t>
        </is>
      </c>
      <c r="I13" s="39" t="n">
        <v>0</v>
      </c>
      <c r="J13" s="40">
        <f>I13*N(F13)</f>
        <v/>
      </c>
      <c r="K13" s="41" t="n"/>
      <c r="L13" s="39" t="n"/>
      <c r="M13" s="40" t="n"/>
      <c r="N13" s="40" t="n"/>
      <c r="O13" s="4" t="inlineStr">
        <is>
          <t>Ítem faltante</t>
        </is>
      </c>
      <c r="P13" s="4" t="inlineStr">
        <is>
          <t>Unifilar</t>
        </is>
      </c>
      <c r="Q13" s="4" t="inlineStr">
        <is>
          <t>Poste de concreto retirado (1→0), pero el unifilar exige el apoyo EPP007 para transformador, protecciones y fin de línea. Ver NUEVO-02.</t>
        </is>
      </c>
      <c r="R13" s="4" t="inlineStr">
        <is>
          <t>Restituir el ítem o aclarar quién suministra el apoyo.</t>
        </is>
      </c>
      <c r="S13" s="4" t="inlineStr">
        <is>
          <t>OBS-041</t>
        </is>
      </c>
      <c r="T13" s="42">
        <f>I13</f>
        <v/>
      </c>
      <c r="U13" s="43">
        <f>T13*N(F13)</f>
        <v/>
      </c>
      <c r="V13" s="43">
        <f>U13-J13</f>
        <v/>
      </c>
      <c r="W13" s="44" t="inlineStr">
        <is>
          <t>Pendiente</t>
        </is>
      </c>
    </row>
    <row r="14" ht="28" customHeight="1">
      <c r="A14" s="4" t="inlineStr">
        <is>
          <t>4.6</t>
        </is>
      </c>
      <c r="B14" s="4" t="inlineStr">
        <is>
          <t>Cap 4</t>
        </is>
      </c>
      <c r="C14" s="4" t="inlineStr">
        <is>
          <t>Suministro e instalacion de protecciones y herrajes para transformador.</t>
        </is>
      </c>
      <c r="D14" s="4" t="inlineStr">
        <is>
          <t>UND</t>
        </is>
      </c>
      <c r="E14" s="39" t="n">
        <v>1</v>
      </c>
      <c r="F14" s="40" t="n">
        <v>4313329.554300005</v>
      </c>
      <c r="G14" s="40">
        <f>E14*F14</f>
        <v/>
      </c>
      <c r="H14" s="4" t="inlineStr">
        <is>
          <t>(=)</t>
        </is>
      </c>
      <c r="I14" s="39" t="n">
        <v>1</v>
      </c>
      <c r="J14" s="40">
        <f>I14*N(F14)</f>
        <v/>
      </c>
      <c r="K14" s="41" t="n"/>
      <c r="L14" s="39" t="n"/>
      <c r="M14" s="40" t="n"/>
      <c r="N14" s="40" t="n"/>
      <c r="O14" s="4" t="inlineStr">
        <is>
          <t>Concuerda</t>
        </is>
      </c>
      <c r="P14" s="4" t="inlineStr">
        <is>
          <t>Unifilar</t>
        </is>
      </c>
      <c r="Q14" s="4" t="inlineStr">
        <is>
          <t>Cortacircuitos 27 kV/100 A, herrajes y protecciones del transformador figuran en el unifilar. Verificar el fusible (3 A frente a 3,8 A nominales).</t>
        </is>
      </c>
      <c r="R14" s="4" t="inlineStr">
        <is>
          <t>Confirmar selección del fusible con el operador.</t>
        </is>
      </c>
      <c r="S14" s="4" t="inlineStr">
        <is>
          <t>OBS-043</t>
        </is>
      </c>
      <c r="T14" s="42">
        <f>I14</f>
        <v/>
      </c>
      <c r="U14" s="43">
        <f>T14*N(F14)</f>
        <v/>
      </c>
      <c r="V14" s="43">
        <f>U14-J14</f>
        <v/>
      </c>
      <c r="W14" s="44" t="inlineStr">
        <is>
          <t>Validada</t>
        </is>
      </c>
    </row>
    <row r="15">
      <c r="A15" s="4" t="inlineStr">
        <is>
          <t>4.7</t>
        </is>
      </c>
      <c r="B15" s="4" t="inlineStr">
        <is>
          <t>Cap 4</t>
        </is>
      </c>
      <c r="C15" s="4" t="inlineStr">
        <is>
          <t>Suministro e instalacion de SPT para transformador  y red MT.</t>
        </is>
      </c>
      <c r="D15" s="4" t="inlineStr">
        <is>
          <t>UND</t>
        </is>
      </c>
      <c r="E15" s="39" t="n">
        <v>2</v>
      </c>
      <c r="F15" s="40" t="n">
        <v>1420641.95403</v>
      </c>
      <c r="G15" s="40">
        <f>E15*F15</f>
        <v/>
      </c>
      <c r="H15" s="4" t="inlineStr">
        <is>
          <t>(=)</t>
        </is>
      </c>
      <c r="I15" s="39" t="n">
        <v>2</v>
      </c>
      <c r="J15" s="40">
        <f>I15*N(F15)</f>
        <v/>
      </c>
      <c r="K15" s="41" t="n"/>
      <c r="L15" s="39" t="n"/>
      <c r="M15" s="40" t="n"/>
      <c r="N15" s="40" t="n"/>
      <c r="O15" s="4" t="inlineStr">
        <is>
          <t>Concuerda</t>
        </is>
      </c>
      <c r="P15" s="4" t="inlineStr">
        <is>
          <t>Unifilar</t>
        </is>
      </c>
      <c r="Q15" s="4" t="inlineStr">
        <is>
          <t>Dos SPT (transformador y red MT).</t>
        </is>
      </c>
      <c r="R15" s="4" t="inlineStr">
        <is>
          <t>—</t>
        </is>
      </c>
      <c r="S15" s="4" t="inlineStr">
        <is>
          <t>OBS-053</t>
        </is>
      </c>
      <c r="T15" s="42">
        <f>I15</f>
        <v/>
      </c>
      <c r="U15" s="43">
        <f>T15*N(F15)</f>
        <v/>
      </c>
      <c r="V15" s="43">
        <f>U15-J15</f>
        <v/>
      </c>
      <c r="W15" s="44" t="inlineStr">
        <is>
          <t>Validada</t>
        </is>
      </c>
    </row>
    <row r="16">
      <c r="A16" s="4" t="inlineStr">
        <is>
          <t>4.8</t>
        </is>
      </c>
      <c r="B16" s="4" t="inlineStr">
        <is>
          <t>Cap 4</t>
        </is>
      </c>
      <c r="C16" s="4" t="inlineStr">
        <is>
          <t>Suministro e instalacion de retenida MT a tierra.</t>
        </is>
      </c>
      <c r="D16" s="4" t="inlineStr">
        <is>
          <t>UND</t>
        </is>
      </c>
      <c r="E16" s="39" t="n">
        <v>1</v>
      </c>
      <c r="F16" s="40" t="n">
        <v>1449753.26184</v>
      </c>
      <c r="G16" s="40">
        <f>E16*F16</f>
        <v/>
      </c>
      <c r="H16" s="4" t="inlineStr">
        <is>
          <t>(+)</t>
        </is>
      </c>
      <c r="I16" s="39" t="n">
        <v>2</v>
      </c>
      <c r="J16" s="40">
        <f>I16*N(F16)</f>
        <v/>
      </c>
      <c r="K16" s="41" t="n"/>
      <c r="L16" s="39" t="n"/>
      <c r="M16" s="40" t="n"/>
      <c r="N16" s="40" t="n"/>
      <c r="O16" s="4" t="inlineStr">
        <is>
          <t>Verificar</t>
        </is>
      </c>
      <c r="P16" s="4" t="inlineStr">
        <is>
          <t>Unifilar</t>
        </is>
      </c>
      <c r="Q16" s="4" t="inlineStr">
        <is>
          <t>El acta pasa de 1 a 2 retenidas. No se muestran en el unifilar.</t>
        </is>
      </c>
      <c r="R16" s="4" t="inlineStr">
        <is>
          <t>Plano de red MT con retenidas.</t>
        </is>
      </c>
      <c r="S16" s="4" t="inlineStr">
        <is>
          <t>OBS-065</t>
        </is>
      </c>
      <c r="T16" s="42">
        <f>I16</f>
        <v/>
      </c>
      <c r="U16" s="43">
        <f>T16*N(F16)</f>
        <v/>
      </c>
      <c r="V16" s="43">
        <f>U16-J16</f>
        <v/>
      </c>
      <c r="W16" s="44" t="inlineStr">
        <is>
          <t>Pendiente</t>
        </is>
      </c>
    </row>
    <row r="17" ht="28" customHeight="1">
      <c r="A17" s="4" t="inlineStr">
        <is>
          <t>4.9</t>
        </is>
      </c>
      <c r="B17" s="4" t="inlineStr">
        <is>
          <t>Cap 4</t>
        </is>
      </c>
      <c r="C17" s="4" t="inlineStr">
        <is>
          <t>Suministro e instalacion de transformador 2F-120/240/13200V 100KVA.</t>
        </is>
      </c>
      <c r="D17" s="4" t="inlineStr">
        <is>
          <t>UND</t>
        </is>
      </c>
      <c r="E17" s="39" t="n">
        <v>1</v>
      </c>
      <c r="F17" s="40" t="n">
        <v>50813544.20298</v>
      </c>
      <c r="G17" s="40">
        <f>E17*F17</f>
        <v/>
      </c>
      <c r="H17" s="4" t="inlineStr">
        <is>
          <t>(-)</t>
        </is>
      </c>
      <c r="I17" s="39" t="n">
        <v>0</v>
      </c>
      <c r="J17" s="40">
        <f>I17*N(F17)</f>
        <v/>
      </c>
      <c r="K17" s="41" t="n"/>
      <c r="L17" s="39" t="n"/>
      <c r="M17" s="40" t="n"/>
      <c r="N17" s="40" t="n"/>
      <c r="O17" s="4" t="inlineStr">
        <is>
          <t>Ítem faltante</t>
        </is>
      </c>
      <c r="P17" s="4" t="inlineStr">
        <is>
          <t>Unifilar</t>
        </is>
      </c>
      <c r="Q17" s="4" t="inlineStr">
        <is>
          <t>Transformador de 100 kVA retirado (1→0). El unifilar muestra uno tipo poste de 50 kVA y no existe ítem de reemplazo. Ver NUEVO-01.</t>
        </is>
      </c>
      <c r="R17" s="4" t="inlineStr">
        <is>
          <t>Crear el ítem o certificar que lo suministra Afinia.</t>
        </is>
      </c>
      <c r="S17" s="4" t="inlineStr">
        <is>
          <t>OBS-040</t>
        </is>
      </c>
      <c r="T17" s="42">
        <f>I17</f>
        <v/>
      </c>
      <c r="U17" s="43">
        <f>T17*N(F17)</f>
        <v/>
      </c>
      <c r="V17" s="43">
        <f>U17-J17</f>
        <v/>
      </c>
      <c r="W17" s="44" t="inlineStr">
        <is>
          <t>Pendiente</t>
        </is>
      </c>
    </row>
    <row r="18" ht="42" customHeight="1">
      <c r="A18" s="4" t="inlineStr">
        <is>
          <t>4.10</t>
        </is>
      </c>
      <c r="B18" s="4" t="inlineStr">
        <is>
          <t>Cap 4</t>
        </is>
      </c>
      <c r="C18" s="4" t="inlineStr">
        <is>
          <t>Excavación manual de zanja 0.60x0.40 m sobre material heterogeneo 0-2 m (rocas 0.35m3) bajo cualquier grado de humedad.</t>
        </is>
      </c>
      <c r="D18" s="4" t="inlineStr">
        <is>
          <t>M</t>
        </is>
      </c>
      <c r="E18" s="39" t="n">
        <v>780</v>
      </c>
      <c r="F18" s="40" t="n">
        <v>91497.50687999999</v>
      </c>
      <c r="G18" s="40">
        <f>E18*F18</f>
        <v/>
      </c>
      <c r="H18" s="4" t="inlineStr">
        <is>
          <t>(+)</t>
        </is>
      </c>
      <c r="I18" s="39" t="n">
        <v>792</v>
      </c>
      <c r="J18" s="40">
        <f>I18*N(F18)</f>
        <v/>
      </c>
      <c r="K18" s="41" t="n"/>
      <c r="L18" s="39" t="n"/>
      <c r="M18" s="40" t="n"/>
      <c r="N18" s="40" t="n"/>
      <c r="O18" s="4" t="inlineStr">
        <is>
          <t>Verificar</t>
        </is>
      </c>
      <c r="P18" s="4" t="inlineStr">
        <is>
          <t>DXF</t>
        </is>
      </c>
      <c r="Q18" s="4" t="inlineStr">
        <is>
          <t>Excavación de 792 m. IN14 está titulado "canalizaciones y excavación" y suma 1.028 m de bancos de ducto: posible duplicidad. Valor en riesgo junto con 4.11: $132,1 M.</t>
        </is>
      </c>
      <c r="R18" s="4" t="inlineStr">
        <is>
          <t>APU de IN14.4–6 y plano de zanjas.</t>
        </is>
      </c>
      <c r="S18" s="4" t="inlineStr">
        <is>
          <t>OBS-056</t>
        </is>
      </c>
      <c r="T18" s="42">
        <f>I18</f>
        <v/>
      </c>
      <c r="U18" s="43">
        <f>T18*N(F18)</f>
        <v/>
      </c>
      <c r="V18" s="43">
        <f>U18-J18</f>
        <v/>
      </c>
      <c r="W18" s="44" t="inlineStr">
        <is>
          <t>Pendiente</t>
        </is>
      </c>
    </row>
    <row r="19" ht="28" customHeight="1">
      <c r="A19" s="4" t="inlineStr">
        <is>
          <t>4.11</t>
        </is>
      </c>
      <c r="B19" s="4" t="inlineStr">
        <is>
          <t>Cap 4</t>
        </is>
      </c>
      <c r="C19" s="4" t="inlineStr">
        <is>
          <t>Relleno de zanja de 0.60x0.40 m con material de sitio, incluye riego y compactación.</t>
        </is>
      </c>
      <c r="D19" s="4" t="inlineStr">
        <is>
          <t>M</t>
        </is>
      </c>
      <c r="E19" s="39" t="n">
        <v>780</v>
      </c>
      <c r="F19" s="40" t="n">
        <v>75316.04184000001</v>
      </c>
      <c r="G19" s="40">
        <f>E19*F19</f>
        <v/>
      </c>
      <c r="H19" s="4" t="inlineStr">
        <is>
          <t>(+)</t>
        </is>
      </c>
      <c r="I19" s="39" t="n">
        <v>792</v>
      </c>
      <c r="J19" s="40">
        <f>I19*N(F19)</f>
        <v/>
      </c>
      <c r="K19" s="41" t="n"/>
      <c r="L19" s="39" t="n"/>
      <c r="M19" s="40" t="n"/>
      <c r="N19" s="40" t="n"/>
      <c r="O19" s="4" t="inlineStr">
        <is>
          <t>Verificar</t>
        </is>
      </c>
      <c r="P19" s="4" t="inlineStr">
        <is>
          <t>DXF</t>
        </is>
      </c>
      <c r="Q19" s="4" t="inlineStr">
        <is>
          <t>Relleno de zanja de 792 m. Posible duplicidad con IN14.4–6 (ver 4.10).</t>
        </is>
      </c>
      <c r="R19" s="4" t="inlineStr">
        <is>
          <t>Igual que 4.10.</t>
        </is>
      </c>
      <c r="S19" s="4" t="inlineStr">
        <is>
          <t>OBS-056</t>
        </is>
      </c>
      <c r="T19" s="42">
        <f>I19</f>
        <v/>
      </c>
      <c r="U19" s="43">
        <f>T19*N(F19)</f>
        <v/>
      </c>
      <c r="V19" s="43">
        <f>U19-J19</f>
        <v/>
      </c>
      <c r="W19" s="44" t="inlineStr">
        <is>
          <t>Pendiente</t>
        </is>
      </c>
    </row>
    <row r="20" ht="28" customHeight="1">
      <c r="A20" s="4" t="inlineStr">
        <is>
          <t>4.12</t>
        </is>
      </c>
      <c r="B20" s="4" t="inlineStr">
        <is>
          <t>Cap 4</t>
        </is>
      </c>
      <c r="C20" s="4" t="inlineStr">
        <is>
          <t>Bajante en tuberia IMC 3", incluye capacete y accesorios.</t>
        </is>
      </c>
      <c r="D20" s="4" t="inlineStr">
        <is>
          <t>M</t>
        </is>
      </c>
      <c r="E20" s="39" t="n">
        <v>6</v>
      </c>
      <c r="F20" s="40" t="n">
        <v>558577.5218400002</v>
      </c>
      <c r="G20" s="40">
        <f>E20*F20</f>
        <v/>
      </c>
      <c r="H20" s="4" t="inlineStr">
        <is>
          <t>(+)</t>
        </is>
      </c>
      <c r="I20" s="48" t="n">
        <v>10</v>
      </c>
      <c r="J20" s="40">
        <f>I20*N(F20)</f>
        <v/>
      </c>
      <c r="K20" s="41" t="n"/>
      <c r="L20" s="39" t="n"/>
      <c r="M20" s="40" t="n"/>
      <c r="N20" s="40" t="n"/>
      <c r="O20" s="4" t="inlineStr">
        <is>
          <t>Verificar</t>
        </is>
      </c>
      <c r="P20" s="4" t="inlineStr">
        <is>
          <t>Unifilar</t>
        </is>
      </c>
      <c r="Q20" s="4" t="inlineStr">
        <is>
          <t>El acta pasa de 6 a 10 m de bajante IMC 3". Son dos tubos, deben ser 6 metros</t>
        </is>
      </c>
      <c r="R20" s="4" t="inlineStr">
        <is>
          <t>Detalle de bajantes MT.</t>
        </is>
      </c>
      <c r="S20" s="4" t="inlineStr">
        <is>
          <t>OBS-065</t>
        </is>
      </c>
      <c r="T20" s="42" t="n">
        <v>6</v>
      </c>
      <c r="U20" s="43">
        <f>T20*N(F20)</f>
        <v/>
      </c>
      <c r="V20" s="43">
        <f>U20-J20</f>
        <v/>
      </c>
      <c r="W20" s="44" t="inlineStr">
        <is>
          <t>Validada</t>
        </is>
      </c>
    </row>
    <row r="21" ht="28" customHeight="1">
      <c r="A21" s="4" t="inlineStr">
        <is>
          <t>4.13</t>
        </is>
      </c>
      <c r="B21" s="4" t="inlineStr">
        <is>
          <t>Cap 4</t>
        </is>
      </c>
      <c r="C21" s="4" t="inlineStr">
        <is>
          <t>Banco de ducto 2" PVC conduit + reserva 2".</t>
        </is>
      </c>
      <c r="D21" s="4" t="inlineStr">
        <is>
          <t>M</t>
        </is>
      </c>
      <c r="E21" s="39" t="n">
        <v>269</v>
      </c>
      <c r="F21" s="40" t="n">
        <v>57462.64797</v>
      </c>
      <c r="G21" s="40">
        <f>E21*F21</f>
        <v/>
      </c>
      <c r="H21" s="4" t="inlineStr">
        <is>
          <t>(-)</t>
        </is>
      </c>
      <c r="I21" s="39" t="n">
        <v>20</v>
      </c>
      <c r="J21" s="40">
        <f>I21*N(F21)</f>
        <v/>
      </c>
      <c r="K21" s="41" t="n"/>
      <c r="L21" s="39" t="n"/>
      <c r="M21" s="40" t="n"/>
      <c r="N21" s="40" t="n"/>
      <c r="O21" s="4" t="inlineStr">
        <is>
          <t>Retirado / reemplazado</t>
        </is>
      </c>
      <c r="P21" s="4" t="inlineStr">
        <is>
          <t>Acta</t>
        </is>
      </c>
      <c r="Q21" s="4" t="inlineStr">
        <is>
          <t>Reducido de 269 a 20 m; los bancos de ducto se reponen en IN14.4–6.</t>
        </is>
      </c>
      <c r="R21" s="4" t="inlineStr">
        <is>
          <t>—</t>
        </is>
      </c>
      <c r="S21" s="4" t="inlineStr">
        <is>
          <t>OBS-064</t>
        </is>
      </c>
      <c r="T21" s="42">
        <f>I21</f>
        <v/>
      </c>
      <c r="U21" s="43">
        <f>T21*N(F21)</f>
        <v/>
      </c>
      <c r="V21" s="43">
        <f>U21-J21</f>
        <v/>
      </c>
      <c r="W21" s="44" t="inlineStr">
        <is>
          <t>Validada</t>
        </is>
      </c>
    </row>
    <row r="22" ht="28" customHeight="1">
      <c r="A22" s="4" t="inlineStr">
        <is>
          <t>4.14</t>
        </is>
      </c>
      <c r="B22" s="4" t="inlineStr">
        <is>
          <t>Cap 4</t>
        </is>
      </c>
      <c r="C22" s="4" t="inlineStr">
        <is>
          <t>Banco de ducto 1" PVC conduit + reserva 3/4" PVC.</t>
        </is>
      </c>
      <c r="D22" s="4" t="inlineStr">
        <is>
          <t>M</t>
        </is>
      </c>
      <c r="E22" s="39" t="n">
        <v>435</v>
      </c>
      <c r="F22" s="40" t="n">
        <v>36491.4381</v>
      </c>
      <c r="G22" s="40">
        <f>E22*F22</f>
        <v/>
      </c>
      <c r="H22" s="4" t="inlineStr">
        <is>
          <t>(-)</t>
        </is>
      </c>
      <c r="I22" s="39" t="n">
        <v>0</v>
      </c>
      <c r="J22" s="40">
        <f>I22*N(F22)</f>
        <v/>
      </c>
      <c r="K22" s="41" t="n"/>
      <c r="L22" s="39" t="n"/>
      <c r="M22" s="40" t="n"/>
      <c r="N22" s="40" t="n"/>
      <c r="O22" s="4" t="inlineStr">
        <is>
          <t>Retirado / reemplazado</t>
        </is>
      </c>
      <c r="P22" s="4" t="inlineStr">
        <is>
          <t>Acta</t>
        </is>
      </c>
      <c r="Q22" s="4" t="inlineStr">
        <is>
          <t>Retirado (435→0); se repone en IN14.4–6.</t>
        </is>
      </c>
      <c r="R22" s="4" t="inlineStr">
        <is>
          <t>—</t>
        </is>
      </c>
      <c r="S22" s="4" t="inlineStr">
        <is>
          <t>OBS-064</t>
        </is>
      </c>
      <c r="T22" s="42">
        <f>I22</f>
        <v/>
      </c>
      <c r="U22" s="43">
        <f>T22*N(F22)</f>
        <v/>
      </c>
      <c r="V22" s="43">
        <f>U22-J22</f>
        <v/>
      </c>
      <c r="W22" s="44" t="inlineStr">
        <is>
          <t>Validada</t>
        </is>
      </c>
    </row>
    <row r="23" ht="28" customHeight="1">
      <c r="A23" s="4" t="inlineStr">
        <is>
          <t>4.15</t>
        </is>
      </c>
      <c r="B23" s="4" t="inlineStr">
        <is>
          <t>Cap 4</t>
        </is>
      </c>
      <c r="C23" s="4" t="inlineStr">
        <is>
          <t>Acometida en 2(3x250 MCM  THHN/THWN Cu)+1 No.2T Cu.</t>
        </is>
      </c>
      <c r="D23" s="4" t="inlineStr">
        <is>
          <t>M</t>
        </is>
      </c>
      <c r="E23" s="39" t="n">
        <v>25</v>
      </c>
      <c r="F23" s="40" t="n">
        <v>1319832.57003</v>
      </c>
      <c r="G23" s="40">
        <f>E23*F23</f>
        <v/>
      </c>
      <c r="H23" s="4" t="inlineStr">
        <is>
          <t>(-)</t>
        </is>
      </c>
      <c r="I23" s="39" t="n">
        <v>0</v>
      </c>
      <c r="J23" s="40">
        <f>I23*N(F23)</f>
        <v/>
      </c>
      <c r="K23" s="41" t="n"/>
      <c r="L23" s="39" t="n"/>
      <c r="M23" s="40" t="n"/>
      <c r="N23" s="40" t="n"/>
      <c r="O23" s="4" t="inlineStr">
        <is>
          <t>Retirado / reemplazado</t>
        </is>
      </c>
      <c r="P23" s="4" t="inlineStr">
        <is>
          <t>Acta</t>
        </is>
      </c>
      <c r="Q23" s="4" t="inlineStr">
        <is>
          <t>Reemplazado por IN14.7 (2×350 MCM Al).</t>
        </is>
      </c>
      <c r="R23" s="4" t="inlineStr">
        <is>
          <t>—</t>
        </is>
      </c>
      <c r="S23" s="4" t="n"/>
      <c r="T23" s="42">
        <f>I23</f>
        <v/>
      </c>
      <c r="U23" s="43">
        <f>T23*N(F23)</f>
        <v/>
      </c>
      <c r="V23" s="43">
        <f>U23-J23</f>
        <v/>
      </c>
      <c r="W23" s="44" t="inlineStr">
        <is>
          <t>Validada</t>
        </is>
      </c>
    </row>
    <row r="24" ht="28" customHeight="1">
      <c r="A24" s="4" t="inlineStr">
        <is>
          <t>4.16</t>
        </is>
      </c>
      <c r="B24" s="4" t="inlineStr">
        <is>
          <t>Cap 4</t>
        </is>
      </c>
      <c r="C24" s="4" t="inlineStr">
        <is>
          <t>Acometida en 2No.1/0 Serie 8000+1No.2T Cu desnudo.</t>
        </is>
      </c>
      <c r="D24" s="4" t="inlineStr">
        <is>
          <t>M</t>
        </is>
      </c>
      <c r="E24" s="39" t="n">
        <v>458</v>
      </c>
      <c r="F24" s="40" t="n">
        <v>151557.03576</v>
      </c>
      <c r="G24" s="40">
        <f>E24*F24</f>
        <v/>
      </c>
      <c r="H24" s="4" t="inlineStr">
        <is>
          <t>(-)</t>
        </is>
      </c>
      <c r="I24" s="39" t="n">
        <v>0</v>
      </c>
      <c r="J24" s="40">
        <f>I24*N(F24)</f>
        <v/>
      </c>
      <c r="K24" s="41" t="n"/>
      <c r="L24" s="39" t="n"/>
      <c r="M24" s="40" t="n"/>
      <c r="N24" s="40" t="n"/>
      <c r="O24" s="4" t="inlineStr">
        <is>
          <t>Retirado / reemplazado</t>
        </is>
      </c>
      <c r="P24" s="4" t="inlineStr">
        <is>
          <t>Acta</t>
        </is>
      </c>
      <c r="Q24" s="4" t="inlineStr">
        <is>
          <t>Reemplazado por IN14.10 e IN14.11 (aluminio).</t>
        </is>
      </c>
      <c r="R24" s="4" t="inlineStr">
        <is>
          <t>—</t>
        </is>
      </c>
      <c r="S24" s="4" t="n"/>
      <c r="T24" s="42">
        <f>I24</f>
        <v/>
      </c>
      <c r="U24" s="43">
        <f>T24*N(F24)</f>
        <v/>
      </c>
      <c r="V24" s="43">
        <f>U24-J24</f>
        <v/>
      </c>
      <c r="W24" s="44" t="inlineStr">
        <is>
          <t>Validada</t>
        </is>
      </c>
    </row>
    <row r="25" ht="28" customHeight="1">
      <c r="A25" s="4" t="inlineStr">
        <is>
          <t>4.17</t>
        </is>
      </c>
      <c r="B25" s="4" t="inlineStr">
        <is>
          <t>Cap 4</t>
        </is>
      </c>
      <c r="C25" s="4" t="inlineStr">
        <is>
          <t>Acometida en 3No.2 Serie 8000+1No.4T Cu.</t>
        </is>
      </c>
      <c r="D25" s="4" t="inlineStr">
        <is>
          <t>M</t>
        </is>
      </c>
      <c r="E25" s="39" t="n">
        <v>50</v>
      </c>
      <c r="F25" s="40" t="n">
        <v>130097.36805</v>
      </c>
      <c r="G25" s="40">
        <f>E25*F25</f>
        <v/>
      </c>
      <c r="H25" s="4" t="inlineStr">
        <is>
          <t>(-)</t>
        </is>
      </c>
      <c r="I25" s="39" t="n">
        <v>0</v>
      </c>
      <c r="J25" s="40">
        <f>I25*N(F25)</f>
        <v/>
      </c>
      <c r="K25" s="41" t="n"/>
      <c r="L25" s="39" t="n"/>
      <c r="M25" s="40" t="n"/>
      <c r="N25" s="40" t="n"/>
      <c r="O25" s="4" t="inlineStr">
        <is>
          <t>Retirado / reemplazado</t>
        </is>
      </c>
      <c r="P25" s="4" t="inlineStr">
        <is>
          <t>Acta</t>
        </is>
      </c>
      <c r="Q25" s="4" t="inlineStr">
        <is>
          <t>Reemplazado por IN14.8 e IN14.9.</t>
        </is>
      </c>
      <c r="R25" s="4" t="inlineStr">
        <is>
          <t>—</t>
        </is>
      </c>
      <c r="S25" s="4" t="n"/>
      <c r="T25" s="42">
        <f>I25</f>
        <v/>
      </c>
      <c r="U25" s="43">
        <f>T25*N(F25)</f>
        <v/>
      </c>
      <c r="V25" s="43">
        <f>U25-J25</f>
        <v/>
      </c>
      <c r="W25" s="44" t="inlineStr">
        <is>
          <t>Validada</t>
        </is>
      </c>
    </row>
    <row r="26" ht="28" customHeight="1">
      <c r="A26" s="4" t="inlineStr">
        <is>
          <t>4.18</t>
        </is>
      </c>
      <c r="B26" s="4" t="inlineStr">
        <is>
          <t>Cap 4</t>
        </is>
      </c>
      <c r="C26" s="4" t="inlineStr">
        <is>
          <t>Ramal en 2No.10+1No.12 Cu THHN/THWN.</t>
        </is>
      </c>
      <c r="D26" s="4" t="inlineStr">
        <is>
          <t>M</t>
        </is>
      </c>
      <c r="E26" s="39" t="n">
        <v>479</v>
      </c>
      <c r="F26" s="40" t="n">
        <v>40660.21791</v>
      </c>
      <c r="G26" s="40">
        <f>E26*F26</f>
        <v/>
      </c>
      <c r="H26" s="4" t="inlineStr">
        <is>
          <t>(+)</t>
        </is>
      </c>
      <c r="I26" s="39" t="n">
        <v>528</v>
      </c>
      <c r="J26" s="40">
        <f>I26*N(F26)</f>
        <v/>
      </c>
      <c r="K26" s="41" t="n"/>
      <c r="L26" s="39" t="n"/>
      <c r="M26" s="40" t="n"/>
      <c r="N26" s="40" t="n"/>
      <c r="O26" s="4" t="inlineStr">
        <is>
          <t>Verificar</t>
        </is>
      </c>
      <c r="P26" s="4" t="inlineStr">
        <is>
          <t>Ninguno</t>
        </is>
      </c>
      <c r="Q26" s="4" t="inlineStr">
        <is>
          <t>Ramal de 528 m (+49 m). No hay plano de instalaciones interiores.</t>
        </is>
      </c>
      <c r="R26" s="4" t="inlineStr">
        <is>
          <t>Plano de instalaciones interiores con recorridos.</t>
        </is>
      </c>
      <c r="S26" s="4" t="inlineStr">
        <is>
          <t>OBS-006</t>
        </is>
      </c>
      <c r="T26" s="42">
        <f>I26</f>
        <v/>
      </c>
      <c r="U26" s="43">
        <f>T26*N(F26)</f>
        <v/>
      </c>
      <c r="V26" s="43">
        <f>U26-J26</f>
        <v/>
      </c>
      <c r="W26" s="44" t="inlineStr">
        <is>
          <t>Pendiente</t>
        </is>
      </c>
    </row>
    <row r="27">
      <c r="A27" s="4" t="inlineStr">
        <is>
          <t>4.19</t>
        </is>
      </c>
      <c r="B27" s="4" t="inlineStr">
        <is>
          <t>Cap 4</t>
        </is>
      </c>
      <c r="C27" s="4" t="inlineStr">
        <is>
          <t>Ramal en 3No.12 LH en tuberia 3/4" PVC SCH40 /EMT.</t>
        </is>
      </c>
      <c r="D27" s="4" t="inlineStr">
        <is>
          <t>M</t>
        </is>
      </c>
      <c r="E27" s="39" t="n">
        <v>50</v>
      </c>
      <c r="F27" s="40" t="n">
        <v>77089.29969000001</v>
      </c>
      <c r="G27" s="40">
        <f>E27*F27</f>
        <v/>
      </c>
      <c r="H27" s="4" t="inlineStr">
        <is>
          <t>(=)</t>
        </is>
      </c>
      <c r="I27" s="39" t="n">
        <v>50</v>
      </c>
      <c r="J27" s="40">
        <f>I27*N(F27)</f>
        <v/>
      </c>
      <c r="K27" s="41" t="n"/>
      <c r="L27" s="39" t="n"/>
      <c r="M27" s="40" t="n"/>
      <c r="N27" s="40" t="n"/>
      <c r="O27" s="4" t="inlineStr">
        <is>
          <t>Verificar</t>
        </is>
      </c>
      <c r="P27" s="4" t="inlineStr">
        <is>
          <t>Ninguno</t>
        </is>
      </c>
      <c r="Q27" s="4" t="inlineStr">
        <is>
          <t>Sin documento de soporte.</t>
        </is>
      </c>
      <c r="R27" s="4" t="inlineStr">
        <is>
          <t>Plano de instalaciones interiores.</t>
        </is>
      </c>
      <c r="S27" s="4" t="inlineStr">
        <is>
          <t>OBS-006</t>
        </is>
      </c>
      <c r="T27" s="42">
        <f>I27</f>
        <v/>
      </c>
      <c r="U27" s="43">
        <f>T27*N(F27)</f>
        <v/>
      </c>
      <c r="V27" s="43">
        <f>U27-J27</f>
        <v/>
      </c>
      <c r="W27" s="44" t="inlineStr">
        <is>
          <t>Pendiente</t>
        </is>
      </c>
    </row>
    <row r="28">
      <c r="A28" s="4" t="inlineStr">
        <is>
          <t>4.20</t>
        </is>
      </c>
      <c r="B28" s="4" t="inlineStr">
        <is>
          <t>Cap 4</t>
        </is>
      </c>
      <c r="C28" s="4" t="inlineStr">
        <is>
          <t>Ramal en 3No.12 LH en tuberia 1/2" PVC SCH40 /EMT.</t>
        </is>
      </c>
      <c r="D28" s="4" t="inlineStr">
        <is>
          <t>M</t>
        </is>
      </c>
      <c r="E28" s="39" t="n">
        <v>50</v>
      </c>
      <c r="F28" s="40" t="n">
        <v>69193.43067</v>
      </c>
      <c r="G28" s="40">
        <f>E28*F28</f>
        <v/>
      </c>
      <c r="H28" s="4" t="inlineStr">
        <is>
          <t>(=)</t>
        </is>
      </c>
      <c r="I28" s="39" t="n">
        <v>50</v>
      </c>
      <c r="J28" s="40">
        <f>I28*N(F28)</f>
        <v/>
      </c>
      <c r="K28" s="41" t="n"/>
      <c r="L28" s="39" t="n"/>
      <c r="M28" s="40" t="n"/>
      <c r="N28" s="40" t="n"/>
      <c r="O28" s="4" t="inlineStr">
        <is>
          <t>Verificar</t>
        </is>
      </c>
      <c r="P28" s="4" t="inlineStr">
        <is>
          <t>Ninguno</t>
        </is>
      </c>
      <c r="Q28" s="4" t="inlineStr">
        <is>
          <t>Sin documento de soporte.</t>
        </is>
      </c>
      <c r="R28" s="4" t="inlineStr">
        <is>
          <t>Plano de instalaciones interiores.</t>
        </is>
      </c>
      <c r="S28" s="4" t="inlineStr">
        <is>
          <t>OBS-006</t>
        </is>
      </c>
      <c r="T28" s="42">
        <f>I28</f>
        <v/>
      </c>
      <c r="U28" s="43">
        <f>T28*N(F28)</f>
        <v/>
      </c>
      <c r="V28" s="43">
        <f>U28-J28</f>
        <v/>
      </c>
      <c r="W28" s="44" t="inlineStr">
        <is>
          <t>Pendiente</t>
        </is>
      </c>
    </row>
    <row r="29">
      <c r="A29" s="4" t="inlineStr">
        <is>
          <t>4.21</t>
        </is>
      </c>
      <c r="B29" s="4" t="inlineStr">
        <is>
          <t>Cap 4</t>
        </is>
      </c>
      <c r="C29" s="4" t="inlineStr">
        <is>
          <t>Suministro e instalacion de cable encauchetado 3x12 AGW.</t>
        </is>
      </c>
      <c r="D29" s="4" t="inlineStr">
        <is>
          <t>M</t>
        </is>
      </c>
      <c r="E29" s="39" t="n">
        <v>270</v>
      </c>
      <c r="F29" s="40" t="n">
        <v>31249.60995</v>
      </c>
      <c r="G29" s="40">
        <f>E29*F29</f>
        <v/>
      </c>
      <c r="H29" s="4" t="inlineStr">
        <is>
          <t>(=)</t>
        </is>
      </c>
      <c r="I29" s="39" t="n">
        <v>270</v>
      </c>
      <c r="J29" s="40">
        <f>I29*N(F29)</f>
        <v/>
      </c>
      <c r="K29" s="41" t="n"/>
      <c r="L29" s="39" t="n"/>
      <c r="M29" s="40" t="n"/>
      <c r="N29" s="40" t="n"/>
      <c r="O29" s="4" t="inlineStr">
        <is>
          <t>Verificar</t>
        </is>
      </c>
      <c r="P29" s="4" t="inlineStr">
        <is>
          <t>Ninguno</t>
        </is>
      </c>
      <c r="Q29" s="4" t="inlineStr">
        <is>
          <t>Cable encauchetado 3×12 de 270 m sin documento de soporte.</t>
        </is>
      </c>
      <c r="R29" s="4" t="inlineStr">
        <is>
          <t>Justificar uso y recorrido.</t>
        </is>
      </c>
      <c r="S29" s="4" t="inlineStr">
        <is>
          <t>OBS-006</t>
        </is>
      </c>
      <c r="T29" s="42">
        <f>I29</f>
        <v/>
      </c>
      <c r="U29" s="43">
        <f>T29*N(F29)</f>
        <v/>
      </c>
      <c r="V29" s="43">
        <f>U29-J29</f>
        <v/>
      </c>
      <c r="W29" s="44" t="inlineStr">
        <is>
          <t>Pendiente</t>
        </is>
      </c>
    </row>
    <row r="30" ht="42" customHeight="1">
      <c r="A30" s="4" t="inlineStr">
        <is>
          <t>4.22</t>
        </is>
      </c>
      <c r="B30" s="4" t="inlineStr">
        <is>
          <t>Cap 4</t>
        </is>
      </c>
      <c r="C30" s="4" t="inlineStr">
        <is>
          <t>Tablero general de iluminación y control de luces según diagrama unifilar.</t>
        </is>
      </c>
      <c r="D30" s="4" t="inlineStr">
        <is>
          <t>UND</t>
        </is>
      </c>
      <c r="E30" s="39" t="n">
        <v>1</v>
      </c>
      <c r="F30" s="40" t="n">
        <v>49793792.32932</v>
      </c>
      <c r="G30" s="40">
        <f>E30*F30</f>
        <v/>
      </c>
      <c r="H30" s="4" t="inlineStr">
        <is>
          <t>(=)</t>
        </is>
      </c>
      <c r="I30" s="39" t="n">
        <v>1</v>
      </c>
      <c r="J30" s="40">
        <f>I30*N(F30)</f>
        <v/>
      </c>
      <c r="K30" s="41" t="n"/>
      <c r="L30" s="39" t="n"/>
      <c r="M30" s="40" t="n"/>
      <c r="N30" s="40" t="n"/>
      <c r="O30" s="4" t="inlineStr">
        <is>
          <t>Concuerda</t>
        </is>
      </c>
      <c r="P30" s="4" t="inlineStr">
        <is>
          <t>Unifilar</t>
        </is>
      </c>
      <c r="Q30" s="4" t="inlineStr">
        <is>
          <t>Tablero general y control según unifilar (acometida 2×225 A, mástiles, canchas, camerinos y garita). Verificar APU: puede incluir los breakers de IN14.14 e IN14.15.</t>
        </is>
      </c>
      <c r="R30" s="4" t="inlineStr">
        <is>
          <t>Presentar APU.</t>
        </is>
      </c>
      <c r="S30" s="4" t="inlineStr">
        <is>
          <t>OBS-049</t>
        </is>
      </c>
      <c r="T30" s="42">
        <f>I30</f>
        <v/>
      </c>
      <c r="U30" s="43">
        <f>T30*N(F30)</f>
        <v/>
      </c>
      <c r="V30" s="43">
        <f>U30-J30</f>
        <v/>
      </c>
      <c r="W30" s="44" t="inlineStr">
        <is>
          <t>Validada</t>
        </is>
      </c>
    </row>
    <row r="31" ht="42" customHeight="1">
      <c r="A31" s="4" t="inlineStr">
        <is>
          <t>4.23</t>
        </is>
      </c>
      <c r="B31" s="4" t="inlineStr">
        <is>
          <t>Cap 4</t>
        </is>
      </c>
      <c r="C31" s="4" t="inlineStr">
        <is>
          <t>Suministro y montaje de tablero bimetalico de 18 circuitos bifasico, barraje min 125A, marquillado de acuerdo a reglamento técnico RETIE.</t>
        </is>
      </c>
      <c r="D31" s="4" t="inlineStr">
        <is>
          <t>UND</t>
        </is>
      </c>
      <c r="E31" s="39" t="n">
        <v>1</v>
      </c>
      <c r="F31" s="40" t="n">
        <v>1361693.1471</v>
      </c>
      <c r="G31" s="40">
        <f>E31*F31</f>
        <v/>
      </c>
      <c r="H31" s="4" t="inlineStr">
        <is>
          <t>(-)</t>
        </is>
      </c>
      <c r="I31" s="39" t="n">
        <v>0</v>
      </c>
      <c r="J31" s="40">
        <f>I31*N(F31)</f>
        <v/>
      </c>
      <c r="K31" s="41" t="n"/>
      <c r="L31" s="39" t="n"/>
      <c r="M31" s="40" t="n"/>
      <c r="N31" s="40" t="n"/>
      <c r="O31" s="4" t="inlineStr">
        <is>
          <t>Retirado / reemplazado</t>
        </is>
      </c>
      <c r="P31" s="4" t="inlineStr">
        <is>
          <t>Acta</t>
        </is>
      </c>
      <c r="Q31" s="4" t="inlineStr">
        <is>
          <t>Tablero de 18 circuitos retirado; se reponen IN14.12 e IN14.13.</t>
        </is>
      </c>
      <c r="R31" s="4" t="inlineStr">
        <is>
          <t>—</t>
        </is>
      </c>
      <c r="S31" s="4" t="n"/>
      <c r="T31" s="42">
        <f>I31</f>
        <v/>
      </c>
      <c r="U31" s="43">
        <f>T31*N(F31)</f>
        <v/>
      </c>
      <c r="V31" s="43">
        <f>U31-J31</f>
        <v/>
      </c>
      <c r="W31" s="44" t="inlineStr">
        <is>
          <t>Validada</t>
        </is>
      </c>
    </row>
    <row r="32" ht="56" customHeight="1">
      <c r="A32" s="4" t="inlineStr">
        <is>
          <t>4.24</t>
        </is>
      </c>
      <c r="B32" s="4" t="inlineStr">
        <is>
          <t>Cap 4</t>
        </is>
      </c>
      <c r="C32" s="4" t="inlineStr">
        <is>
          <t>Suministro y montaje de tablero de distribucion para sistema de bombeo, incluye totalizador de 2x70A, 2 totalizadores secundarios 2x40A, gabinete en lamina cold roled, pintura electrostatica.</t>
        </is>
      </c>
      <c r="D32" s="4" t="inlineStr">
        <is>
          <t>UND</t>
        </is>
      </c>
      <c r="E32" s="39" t="n">
        <v>1</v>
      </c>
      <c r="F32" s="40" t="n">
        <v>11196490.36662</v>
      </c>
      <c r="G32" s="40">
        <f>E32*F32</f>
        <v/>
      </c>
      <c r="H32" s="4" t="inlineStr">
        <is>
          <t>(-)</t>
        </is>
      </c>
      <c r="I32" s="39" t="n">
        <v>0</v>
      </c>
      <c r="J32" s="40">
        <f>I32*N(F32)</f>
        <v/>
      </c>
      <c r="K32" s="41" t="n"/>
      <c r="L32" s="39" t="n"/>
      <c r="M32" s="40" t="n"/>
      <c r="N32" s="40" t="n"/>
      <c r="O32" s="4" t="inlineStr">
        <is>
          <t>Retirado / reemplazado</t>
        </is>
      </c>
      <c r="P32" s="4" t="inlineStr">
        <is>
          <t>Acta</t>
        </is>
      </c>
      <c r="Q32" s="4" t="inlineStr">
        <is>
          <t>Tablero de bombeo retirado.</t>
        </is>
      </c>
      <c r="R32" s="4" t="inlineStr">
        <is>
          <t>—</t>
        </is>
      </c>
      <c r="S32" s="4" t="n"/>
      <c r="T32" s="42">
        <f>I32</f>
        <v/>
      </c>
      <c r="U32" s="43">
        <f>T32*N(F32)</f>
        <v/>
      </c>
      <c r="V32" s="43">
        <f>U32-J32</f>
        <v/>
      </c>
      <c r="W32" s="44" t="inlineStr">
        <is>
          <t>Validada</t>
        </is>
      </c>
    </row>
    <row r="33" ht="28" customHeight="1">
      <c r="A33" s="4" t="inlineStr">
        <is>
          <t>4.25</t>
        </is>
      </c>
      <c r="B33" s="4" t="inlineStr">
        <is>
          <t>Cap 4</t>
        </is>
      </c>
      <c r="C33" s="4" t="inlineStr">
        <is>
          <t>Suministro e instalacion de caja de abonado 8P para conexionado de luminarias.</t>
        </is>
      </c>
      <c r="D33" s="4" t="inlineStr">
        <is>
          <t>UND</t>
        </is>
      </c>
      <c r="E33" s="39" t="n">
        <v>4</v>
      </c>
      <c r="F33" s="40" t="n">
        <v>1207695.12123</v>
      </c>
      <c r="G33" s="40">
        <f>E33*F33</f>
        <v/>
      </c>
      <c r="H33" s="4" t="inlineStr">
        <is>
          <t>(+)</t>
        </is>
      </c>
      <c r="I33" s="48" t="n">
        <v>10</v>
      </c>
      <c r="J33" s="40">
        <f>I33*N(F33)</f>
        <v/>
      </c>
      <c r="K33" s="41">
        <f>Balance_Cantidades!H13</f>
        <v/>
      </c>
      <c r="L33" s="39">
        <f>I33-K33</f>
        <v/>
      </c>
      <c r="M33" s="40">
        <f>MAX(0,L33)*N(F33)</f>
        <v/>
      </c>
      <c r="N33" s="40">
        <f>MAX(0,-L33)*N(F33)</f>
        <v/>
      </c>
      <c r="O33" s="4" t="inlineStr">
        <is>
          <t>Discrepa</t>
        </is>
      </c>
      <c r="P33" s="4" t="inlineStr">
        <is>
          <t>Planos</t>
        </is>
      </c>
      <c r="Q33" s="4" t="inlineStr">
        <is>
          <t>Acta: 10. Criterio de la interventoría: 12 (4 mástiles + 8 postes). Deberian ser 12 (resolver los dos postes de la multiple)</t>
        </is>
      </c>
      <c r="R33" s="4" t="inlineStr">
        <is>
          <t>Ajustar a 12 si se confirman 8 postes de 12 m.</t>
        </is>
      </c>
      <c r="S33" s="4" t="inlineStr">
        <is>
          <t>OBS-016</t>
        </is>
      </c>
      <c r="T33" s="42" t="n">
        <v>12</v>
      </c>
      <c r="U33" s="43">
        <f>T33*N(F33)</f>
        <v/>
      </c>
      <c r="V33" s="43">
        <f>U33-J33</f>
        <v/>
      </c>
      <c r="W33" s="44" t="inlineStr">
        <is>
          <t>Validada</t>
        </is>
      </c>
    </row>
    <row r="34" ht="28" customHeight="1">
      <c r="A34" s="4" t="inlineStr">
        <is>
          <t>4.26</t>
        </is>
      </c>
      <c r="B34" s="4" t="inlineStr">
        <is>
          <t>Cap 4</t>
        </is>
      </c>
      <c r="C34" s="4" t="inlineStr">
        <is>
          <t>Suministro e instalacion de breaker enchufable 20A.</t>
        </is>
      </c>
      <c r="D34" s="4" t="inlineStr">
        <is>
          <t>UND</t>
        </is>
      </c>
      <c r="E34" s="39" t="n">
        <v>15</v>
      </c>
      <c r="F34" s="40" t="n">
        <v>42000.87879</v>
      </c>
      <c r="G34" s="40">
        <f>E34*F34</f>
        <v/>
      </c>
      <c r="H34" s="4" t="inlineStr">
        <is>
          <t>(-)</t>
        </is>
      </c>
      <c r="I34" s="39" t="n">
        <v>10</v>
      </c>
      <c r="J34" s="40">
        <f>I34*N(F34)</f>
        <v/>
      </c>
      <c r="K34" s="41" t="n"/>
      <c r="L34" s="39" t="n"/>
      <c r="M34" s="40" t="n"/>
      <c r="N34" s="40" t="n"/>
      <c r="O34" s="4" t="inlineStr">
        <is>
          <t>Verificar</t>
        </is>
      </c>
      <c r="P34" s="4" t="inlineStr">
        <is>
          <t>Unifilar</t>
        </is>
      </c>
      <c r="Q34" s="4" t="inlineStr">
        <is>
          <t>El tablero general solo usa 2 × 20 A (Fútbol 6 y Múltiple). El resto sería para tableros internos no entregados.</t>
        </is>
      </c>
      <c r="R34" s="4" t="inlineStr">
        <is>
          <t>Cuadros de carga de tableros internos.</t>
        </is>
      </c>
      <c r="S34" s="4" t="inlineStr">
        <is>
          <t>OBS-006</t>
        </is>
      </c>
      <c r="T34" s="42">
        <f>I34</f>
        <v/>
      </c>
      <c r="U34" s="43">
        <f>T34*N(F34)</f>
        <v/>
      </c>
      <c r="V34" s="43">
        <f>U34-J34</f>
        <v/>
      </c>
      <c r="W34" s="44" t="inlineStr">
        <is>
          <t>Pendiente</t>
        </is>
      </c>
    </row>
    <row r="35">
      <c r="A35" s="4" t="inlineStr">
        <is>
          <t>4.27</t>
        </is>
      </c>
      <c r="B35" s="4" t="inlineStr">
        <is>
          <t>Cap 4</t>
        </is>
      </c>
      <c r="C35" s="4" t="inlineStr">
        <is>
          <t>Suministro e instalacion de breaker enchufable 2x20A.</t>
        </is>
      </c>
      <c r="D35" s="4" t="inlineStr">
        <is>
          <t>UND</t>
        </is>
      </c>
      <c r="E35" s="39" t="n">
        <v>3</v>
      </c>
      <c r="F35" s="40" t="n">
        <v>108722.1411900001</v>
      </c>
      <c r="G35" s="40">
        <f>E35*F35</f>
        <v/>
      </c>
      <c r="H35" s="4" t="inlineStr">
        <is>
          <t>(+)</t>
        </is>
      </c>
      <c r="I35" s="39" t="n">
        <v>6</v>
      </c>
      <c r="J35" s="40">
        <f>I35*N(F35)</f>
        <v/>
      </c>
      <c r="K35" s="41" t="n"/>
      <c r="L35" s="39" t="n"/>
      <c r="M35" s="40" t="n"/>
      <c r="N35" s="40" t="n"/>
      <c r="O35" s="4" t="inlineStr">
        <is>
          <t>Verificar</t>
        </is>
      </c>
      <c r="P35" s="4" t="inlineStr">
        <is>
          <t>Unifilar</t>
        </is>
      </c>
      <c r="Q35" s="4" t="inlineStr">
        <is>
          <t>Ver 4.26.</t>
        </is>
      </c>
      <c r="R35" s="4" t="inlineStr">
        <is>
          <t>Cuadros de carga de tableros internos.</t>
        </is>
      </c>
      <c r="S35" s="4" t="inlineStr">
        <is>
          <t>OBS-006</t>
        </is>
      </c>
      <c r="T35" s="42">
        <f>I35</f>
        <v/>
      </c>
      <c r="U35" s="43">
        <f>T35*N(F35)</f>
        <v/>
      </c>
      <c r="V35" s="43">
        <f>U35-J35</f>
        <v/>
      </c>
      <c r="W35" s="44" t="inlineStr">
        <is>
          <t>Pendiente</t>
        </is>
      </c>
    </row>
    <row r="36" ht="42" customHeight="1">
      <c r="A36" s="4" t="inlineStr">
        <is>
          <t>4.28</t>
        </is>
      </c>
      <c r="B36" s="4" t="inlineStr">
        <is>
          <t>Cap 4</t>
        </is>
      </c>
      <c r="C36" s="4" t="inlineStr">
        <is>
          <t>Suministro e instalacion de SPT en cable 4/0 cu desnudo, incluye, soldadura cadweld, varilla de puesta a tierra, pletina de puesta a tierra.</t>
        </is>
      </c>
      <c r="D36" s="4" t="inlineStr">
        <is>
          <t>UND</t>
        </is>
      </c>
      <c r="E36" s="39" t="n">
        <v>1</v>
      </c>
      <c r="F36" s="40" t="n">
        <v>16714649.24961</v>
      </c>
      <c r="G36" s="40">
        <f>E36*F36</f>
        <v/>
      </c>
      <c r="H36" s="4" t="inlineStr">
        <is>
          <t>(-)</t>
        </is>
      </c>
      <c r="I36" s="39" t="n">
        <v>0</v>
      </c>
      <c r="J36" s="40">
        <f>I36*N(F36)</f>
        <v/>
      </c>
      <c r="K36" s="41" t="n"/>
      <c r="L36" s="39" t="n"/>
      <c r="M36" s="40" t="n"/>
      <c r="N36" s="40" t="n"/>
      <c r="O36" s="4" t="inlineStr">
        <is>
          <t>Retirado / reemplazado</t>
        </is>
      </c>
      <c r="P36" s="4" t="inlineStr">
        <is>
          <t>Acta</t>
        </is>
      </c>
      <c r="Q36" s="4" t="inlineStr">
        <is>
          <t>Reemplazado por IN14.16 (malla 5 × 5 m).</t>
        </is>
      </c>
      <c r="R36" s="4" t="inlineStr">
        <is>
          <t>—</t>
        </is>
      </c>
      <c r="S36" s="4" t="inlineStr">
        <is>
          <t>OBS-053</t>
        </is>
      </c>
      <c r="T36" s="42">
        <f>I36</f>
        <v/>
      </c>
      <c r="U36" s="43">
        <f>T36*N(F36)</f>
        <v/>
      </c>
      <c r="V36" s="43">
        <f>U36-J36</f>
        <v/>
      </c>
      <c r="W36" s="44" t="inlineStr">
        <is>
          <t>Validada</t>
        </is>
      </c>
    </row>
    <row r="37" ht="56" customHeight="1">
      <c r="A37" s="4" t="inlineStr">
        <is>
          <t>4.29</t>
        </is>
      </c>
      <c r="B37" s="4" t="inlineStr">
        <is>
          <t>Cap 4</t>
        </is>
      </c>
      <c r="C37" s="4" t="inlineStr">
        <is>
          <t>Suministro e instalacion de sistema de apantallamiento para mastiles de iluminacion.</t>
        </is>
      </c>
      <c r="D37" s="4" t="inlineStr">
        <is>
          <t>UND</t>
        </is>
      </c>
      <c r="E37" s="39" t="n">
        <v>6</v>
      </c>
      <c r="F37" s="40" t="n">
        <v>6908528.14275</v>
      </c>
      <c r="G37" s="40">
        <f>E37*F37</f>
        <v/>
      </c>
      <c r="H37" s="4" t="inlineStr">
        <is>
          <t>(+)</t>
        </is>
      </c>
      <c r="I37" s="48" t="n">
        <v>10</v>
      </c>
      <c r="J37" s="40">
        <f>I37*N(F37)</f>
        <v/>
      </c>
      <c r="K37" s="41">
        <f>Balance_Cantidades!H12</f>
        <v/>
      </c>
      <c r="L37" s="39">
        <f>I37-K37</f>
        <v/>
      </c>
      <c r="M37" s="40">
        <f>MAX(0,L37)*N(F37)</f>
        <v/>
      </c>
      <c r="N37" s="40">
        <f>MAX(0,-L37)*N(F37)</f>
        <v/>
      </c>
      <c r="O37" s="4" t="inlineStr">
        <is>
          <t>Discrepa</t>
        </is>
      </c>
      <c r="P37" s="4" t="inlineStr">
        <is>
          <t>Planos</t>
        </is>
      </c>
      <c r="Q37" s="4" t="inlineStr">
        <is>
          <t>Acta: 10. Referencia 8 (4 mástiles + 4 postes de la tabla); sería 12 si se aceptan 8 postes de 12 m. Falta evaluación de riesgo por rayos. SOLO SE REQUIEREN PARA LOS MASTILES DE FUTBOL 11/9, ES DECIR 4 UNIDADES</t>
        </is>
      </c>
      <c r="R37" s="4" t="inlineStr">
        <is>
          <t>Entregar evaluación de riesgo por rayos.</t>
        </is>
      </c>
      <c r="S37" s="4" t="inlineStr">
        <is>
          <t>OBS-015</t>
        </is>
      </c>
      <c r="T37" s="42" t="n">
        <v>4</v>
      </c>
      <c r="U37" s="43">
        <f>T37*N(F37)</f>
        <v/>
      </c>
      <c r="V37" s="43">
        <f>U37-J37</f>
        <v/>
      </c>
      <c r="W37" s="44" t="inlineStr">
        <is>
          <t>Validada</t>
        </is>
      </c>
    </row>
    <row r="38" ht="28" customHeight="1">
      <c r="A38" s="4" t="inlineStr">
        <is>
          <t>4.30</t>
        </is>
      </c>
      <c r="B38" s="4" t="inlineStr">
        <is>
          <t>Cap 4</t>
        </is>
      </c>
      <c r="C38" s="4" t="inlineStr">
        <is>
          <t>Salida para iluminacion en tuberia PVC SCH40/EMT 1/2", cable No.12 LSHF, incluye accesorios.</t>
        </is>
      </c>
      <c r="D38" s="4" t="inlineStr">
        <is>
          <t>UND</t>
        </is>
      </c>
      <c r="E38" s="39" t="n">
        <v>87</v>
      </c>
      <c r="F38" s="40" t="n">
        <v>396961.6322099999</v>
      </c>
      <c r="G38" s="40">
        <f>E38*F38</f>
        <v/>
      </c>
      <c r="H38" s="4" t="inlineStr">
        <is>
          <t>(-)</t>
        </is>
      </c>
      <c r="I38" s="39" t="n">
        <v>45</v>
      </c>
      <c r="J38" s="40">
        <f>I38*N(F38)</f>
        <v/>
      </c>
      <c r="K38" s="41" t="n">
        <v>45</v>
      </c>
      <c r="L38" s="39">
        <f>I38-K38</f>
        <v/>
      </c>
      <c r="M38" s="40">
        <f>MAX(0,L38)*N(F38)</f>
        <v/>
      </c>
      <c r="N38" s="40">
        <f>MAX(0,-L38)*N(F38)</f>
        <v/>
      </c>
      <c r="O38" s="4" t="inlineStr">
        <is>
          <t>Concuerda</t>
        </is>
      </c>
      <c r="P38" s="4" t="inlineStr">
        <is>
          <t>DXF</t>
        </is>
      </c>
      <c r="Q38" s="4" t="inlineStr">
        <is>
          <t>DXF: 7 ojos de buey + 6 herméticas LED + 32 herméticas 2×18 = 45.</t>
        </is>
      </c>
      <c r="R38" s="4" t="inlineStr">
        <is>
          <t>—</t>
        </is>
      </c>
      <c r="S38" s="4" t="inlineStr">
        <is>
          <t>OBS-059</t>
        </is>
      </c>
      <c r="T38" s="42">
        <f>I38</f>
        <v/>
      </c>
      <c r="U38" s="43">
        <f>T38*N(F38)</f>
        <v/>
      </c>
      <c r="V38" s="43">
        <f>U38-J38</f>
        <v/>
      </c>
      <c r="W38" s="44" t="inlineStr">
        <is>
          <t>Validada</t>
        </is>
      </c>
    </row>
    <row r="39" ht="28" customHeight="1">
      <c r="A39" s="4" t="inlineStr">
        <is>
          <t>4.31</t>
        </is>
      </c>
      <c r="B39" s="4" t="inlineStr">
        <is>
          <t>Cap 4</t>
        </is>
      </c>
      <c r="C39" s="4" t="inlineStr">
        <is>
          <t>Salida para iluminacion de emergencia en tuberia PVC SCH40/EMT 1/2", cable No.12 LSHF, incluye accesorios.</t>
        </is>
      </c>
      <c r="D39" s="4" t="inlineStr">
        <is>
          <t>UND</t>
        </is>
      </c>
      <c r="E39" s="39" t="n">
        <v>18</v>
      </c>
      <c r="F39" s="40" t="n">
        <v>424182.7640700003</v>
      </c>
      <c r="G39" s="40">
        <f>E39*F39</f>
        <v/>
      </c>
      <c r="H39" s="4" t="inlineStr">
        <is>
          <t>(-)</t>
        </is>
      </c>
      <c r="I39" s="39" t="n">
        <v>5</v>
      </c>
      <c r="J39" s="40">
        <f>I39*N(F39)</f>
        <v/>
      </c>
      <c r="K39" s="41" t="n">
        <v>5</v>
      </c>
      <c r="L39" s="39">
        <f>I39-K39</f>
        <v/>
      </c>
      <c r="M39" s="40">
        <f>MAX(0,L39)*N(F39)</f>
        <v/>
      </c>
      <c r="N39" s="40">
        <f>MAX(0,-L39)*N(F39)</f>
        <v/>
      </c>
      <c r="O39" s="4" t="inlineStr">
        <is>
          <t>Concuerda</t>
        </is>
      </c>
      <c r="P39" s="4" t="inlineStr">
        <is>
          <t>DXF</t>
        </is>
      </c>
      <c r="Q39" s="4" t="inlineStr">
        <is>
          <t>DXF: 5 luminarias de emergencia.</t>
        </is>
      </c>
      <c r="R39" s="4" t="inlineStr">
        <is>
          <t>—</t>
        </is>
      </c>
      <c r="S39" s="4" t="inlineStr">
        <is>
          <t>OBS-059</t>
        </is>
      </c>
      <c r="T39" s="42">
        <f>I39</f>
        <v/>
      </c>
      <c r="U39" s="43">
        <f>T39*N(F39)</f>
        <v/>
      </c>
      <c r="V39" s="43">
        <f>U39-J39</f>
        <v/>
      </c>
      <c r="W39" s="44" t="inlineStr">
        <is>
          <t>Validada</t>
        </is>
      </c>
    </row>
    <row r="40" ht="28" customHeight="1">
      <c r="A40" s="4" t="inlineStr">
        <is>
          <t>4.32</t>
        </is>
      </c>
      <c r="B40" s="4" t="inlineStr">
        <is>
          <t>Cap 4</t>
        </is>
      </c>
      <c r="C40" s="4" t="inlineStr">
        <is>
          <t>Salida para interruptor sencillo en tuberia PVC SCH40/EMT 1/2", cable No.12 LSHF , incluye accesorios.</t>
        </is>
      </c>
      <c r="D40" s="4" t="inlineStr">
        <is>
          <t>UND</t>
        </is>
      </c>
      <c r="E40" s="39" t="n">
        <v>28</v>
      </c>
      <c r="F40" s="40" t="n">
        <v>411108.72231</v>
      </c>
      <c r="G40" s="40">
        <f>E40*F40</f>
        <v/>
      </c>
      <c r="H40" s="4" t="inlineStr">
        <is>
          <t>(-)</t>
        </is>
      </c>
      <c r="I40" s="39" t="n">
        <v>11</v>
      </c>
      <c r="J40" s="40">
        <f>I40*N(F40)</f>
        <v/>
      </c>
      <c r="K40" s="41" t="n">
        <v>11</v>
      </c>
      <c r="L40" s="39">
        <f>I40-K40</f>
        <v/>
      </c>
      <c r="M40" s="40">
        <f>MAX(0,L40)*N(F40)</f>
        <v/>
      </c>
      <c r="N40" s="40">
        <f>MAX(0,-L40)*N(F40)</f>
        <v/>
      </c>
      <c r="O40" s="4" t="inlineStr">
        <is>
          <t>Concuerda</t>
        </is>
      </c>
      <c r="P40" s="4" t="inlineStr">
        <is>
          <t>DXF</t>
        </is>
      </c>
      <c r="Q40" s="4" t="inlineStr">
        <is>
          <t>DXF: 11 interruptores sencillos.</t>
        </is>
      </c>
      <c r="R40" s="4" t="inlineStr">
        <is>
          <t>—</t>
        </is>
      </c>
      <c r="S40" s="4" t="inlineStr">
        <is>
          <t>OBS-059</t>
        </is>
      </c>
      <c r="T40" s="42">
        <f>I40</f>
        <v/>
      </c>
      <c r="U40" s="43">
        <f>T40*N(F40)</f>
        <v/>
      </c>
      <c r="V40" s="43">
        <f>U40-J40</f>
        <v/>
      </c>
      <c r="W40" s="44" t="inlineStr">
        <is>
          <t>Validada</t>
        </is>
      </c>
    </row>
    <row r="41" ht="28" customHeight="1">
      <c r="A41" s="4" t="inlineStr">
        <is>
          <t>4.33</t>
        </is>
      </c>
      <c r="B41" s="4" t="inlineStr">
        <is>
          <t>Cap 4</t>
        </is>
      </c>
      <c r="C41" s="4" t="inlineStr">
        <is>
          <t>Salida para tomacorriente doble en tuberia PVC SCH40/EMT 1/2", cable No.12 LSHF, incluye accesorios.</t>
        </is>
      </c>
      <c r="D41" s="4" t="inlineStr">
        <is>
          <t>UND</t>
        </is>
      </c>
      <c r="E41" s="39" t="n">
        <v>14</v>
      </c>
      <c r="F41" s="40" t="n">
        <v>400977.1194</v>
      </c>
      <c r="G41" s="40">
        <f>E41*F41</f>
        <v/>
      </c>
      <c r="H41" s="4" t="inlineStr">
        <is>
          <t>(-)</t>
        </is>
      </c>
      <c r="I41" s="39" t="n">
        <v>13</v>
      </c>
      <c r="J41" s="40">
        <f>I41*N(F41)</f>
        <v/>
      </c>
      <c r="K41" s="41" t="n">
        <v>13</v>
      </c>
      <c r="L41" s="39">
        <f>I41-K41</f>
        <v/>
      </c>
      <c r="M41" s="40">
        <f>MAX(0,L41)*N(F41)</f>
        <v/>
      </c>
      <c r="N41" s="40">
        <f>MAX(0,-L41)*N(F41)</f>
        <v/>
      </c>
      <c r="O41" s="4" t="inlineStr">
        <is>
          <t>Concuerda</t>
        </is>
      </c>
      <c r="P41" s="4" t="inlineStr">
        <is>
          <t>DXF</t>
        </is>
      </c>
      <c r="Q41" s="4" t="inlineStr">
        <is>
          <t>DXF: 13 tomas normales.</t>
        </is>
      </c>
      <c r="R41" s="4" t="inlineStr">
        <is>
          <t>—</t>
        </is>
      </c>
      <c r="S41" s="4" t="inlineStr">
        <is>
          <t>OBS-059</t>
        </is>
      </c>
      <c r="T41" s="42">
        <f>I41</f>
        <v/>
      </c>
      <c r="U41" s="43">
        <f>T41*N(F41)</f>
        <v/>
      </c>
      <c r="V41" s="43">
        <f>U41-J41</f>
        <v/>
      </c>
      <c r="W41" s="44" t="inlineStr">
        <is>
          <t>Validada</t>
        </is>
      </c>
    </row>
    <row r="42" ht="28" customHeight="1">
      <c r="A42" s="4" t="inlineStr">
        <is>
          <t>4.34</t>
        </is>
      </c>
      <c r="B42" s="4" t="inlineStr">
        <is>
          <t>Cap 4</t>
        </is>
      </c>
      <c r="C42" s="4" t="inlineStr">
        <is>
          <t>Salida para tomacorriente GPFI en tuberia PVC SCH40/EMT 1/2", cable No.12 LSHF , incluye accesorios.</t>
        </is>
      </c>
      <c r="D42" s="4" t="inlineStr">
        <is>
          <t>UND</t>
        </is>
      </c>
      <c r="E42" s="39" t="n">
        <v>6</v>
      </c>
      <c r="F42" s="40" t="n">
        <v>440807.2187999998</v>
      </c>
      <c r="G42" s="40">
        <f>E42*F42</f>
        <v/>
      </c>
      <c r="H42" s="4" t="inlineStr">
        <is>
          <t>(+)</t>
        </is>
      </c>
      <c r="I42" s="39" t="n">
        <v>7</v>
      </c>
      <c r="J42" s="40">
        <f>I42*N(F42)</f>
        <v/>
      </c>
      <c r="K42" s="41" t="n">
        <v>7</v>
      </c>
      <c r="L42" s="39">
        <f>I42-K42</f>
        <v/>
      </c>
      <c r="M42" s="40">
        <f>MAX(0,L42)*N(F42)</f>
        <v/>
      </c>
      <c r="N42" s="40">
        <f>MAX(0,-L42)*N(F42)</f>
        <v/>
      </c>
      <c r="O42" s="4" t="inlineStr">
        <is>
          <t>Concuerda</t>
        </is>
      </c>
      <c r="P42" s="4" t="inlineStr">
        <is>
          <t>DXF</t>
        </is>
      </c>
      <c r="Q42" s="4" t="inlineStr">
        <is>
          <t>DXF: 7 tomas GFCI.</t>
        </is>
      </c>
      <c r="R42" s="4" t="inlineStr">
        <is>
          <t>—</t>
        </is>
      </c>
      <c r="S42" s="4" t="inlineStr">
        <is>
          <t>OBS-059</t>
        </is>
      </c>
      <c r="T42" s="42">
        <f>I42</f>
        <v/>
      </c>
      <c r="U42" s="43">
        <f>T42*N(F42)</f>
        <v/>
      </c>
      <c r="V42" s="43">
        <f>U42-J42</f>
        <v/>
      </c>
      <c r="W42" s="44" t="inlineStr">
        <is>
          <t>Validada</t>
        </is>
      </c>
    </row>
    <row r="43" ht="28" customHeight="1">
      <c r="A43" s="4" t="inlineStr">
        <is>
          <t>4.35</t>
        </is>
      </c>
      <c r="B43" s="4" t="inlineStr">
        <is>
          <t>Cap 4</t>
        </is>
      </c>
      <c r="C43" s="4" t="inlineStr">
        <is>
          <t>Salida para tomacorriente 220V en tuberia PVC SCH40/EMT 1/2", cable No.10 LSHF , incluye accesorios.</t>
        </is>
      </c>
      <c r="D43" s="4" t="inlineStr">
        <is>
          <t>UND</t>
        </is>
      </c>
      <c r="E43" s="39" t="n">
        <v>1</v>
      </c>
      <c r="F43" s="40" t="n">
        <v>569524.9532699999</v>
      </c>
      <c r="G43" s="40">
        <f>E43*F43</f>
        <v/>
      </c>
      <c r="H43" s="4" t="inlineStr">
        <is>
          <t>(=)</t>
        </is>
      </c>
      <c r="I43" s="39" t="n">
        <v>1</v>
      </c>
      <c r="J43" s="40">
        <f>I43*N(F43)</f>
        <v/>
      </c>
      <c r="K43" s="41" t="n">
        <v>1</v>
      </c>
      <c r="L43" s="39">
        <f>I43-K43</f>
        <v/>
      </c>
      <c r="M43" s="40">
        <f>MAX(0,L43)*N(F43)</f>
        <v/>
      </c>
      <c r="N43" s="40">
        <f>MAX(0,-L43)*N(F43)</f>
        <v/>
      </c>
      <c r="O43" s="4" t="inlineStr">
        <is>
          <t>Concuerda</t>
        </is>
      </c>
      <c r="P43" s="4" t="inlineStr">
        <is>
          <t>DXF</t>
        </is>
      </c>
      <c r="Q43" s="4" t="inlineStr">
        <is>
          <t>DXF: 1 toma trifilar.</t>
        </is>
      </c>
      <c r="R43" s="4" t="inlineStr">
        <is>
          <t>—</t>
        </is>
      </c>
      <c r="S43" s="4" t="inlineStr">
        <is>
          <t>OBS-059</t>
        </is>
      </c>
      <c r="T43" s="42">
        <f>I43</f>
        <v/>
      </c>
      <c r="U43" s="43">
        <f>T43*N(F43)</f>
        <v/>
      </c>
      <c r="V43" s="43">
        <f>U43-J43</f>
        <v/>
      </c>
      <c r="W43" s="44" t="inlineStr">
        <is>
          <t>Validada</t>
        </is>
      </c>
    </row>
    <row r="44" ht="28" customHeight="1">
      <c r="A44" s="4" t="inlineStr">
        <is>
          <t>4.36</t>
        </is>
      </c>
      <c r="B44" s="4" t="inlineStr">
        <is>
          <t>Cap 4</t>
        </is>
      </c>
      <c r="C44" s="4" t="inlineStr">
        <is>
          <t>Salida para luminaria 220V en tuberia PVC 1", cable 2No.10 LSHF +12T, incluye accesorios.</t>
        </is>
      </c>
      <c r="D44" s="4" t="inlineStr">
        <is>
          <t>UND</t>
        </is>
      </c>
      <c r="E44" s="39" t="n">
        <v>56</v>
      </c>
      <c r="F44" s="40" t="n">
        <v>261479.53611</v>
      </c>
      <c r="G44" s="40">
        <f>E44*F44</f>
        <v/>
      </c>
      <c r="H44" s="4" t="inlineStr">
        <is>
          <t>(-)</t>
        </is>
      </c>
      <c r="I44" s="39" t="n">
        <v>42</v>
      </c>
      <c r="J44" s="40">
        <f>I44*N(F44)</f>
        <v/>
      </c>
      <c r="K44" s="41" t="n"/>
      <c r="L44" s="39" t="n"/>
      <c r="M44" s="40" t="n"/>
      <c r="N44" s="40" t="n"/>
      <c r="O44" s="4" t="inlineStr">
        <is>
          <t>Verificar</t>
        </is>
      </c>
      <c r="P44" s="4" t="inlineStr">
        <is>
          <t>DXF</t>
        </is>
      </c>
      <c r="Q44" s="4" t="inlineStr">
        <is>
          <t>Salida de luminaria 220 V de 42 unidades sin equivalente en el DXF: las 50 luminarias ya están en 4.30 y 4.31. Valor en riesgo $10,98 M.</t>
        </is>
      </c>
      <c r="R44" s="4" t="inlineStr">
        <is>
          <t>Justificar con plano o retirar.</t>
        </is>
      </c>
      <c r="S44" s="4" t="inlineStr">
        <is>
          <t>OBS-058</t>
        </is>
      </c>
      <c r="T44" s="42">
        <f>I44</f>
        <v/>
      </c>
      <c r="U44" s="43">
        <f>T44*N(F44)</f>
        <v/>
      </c>
      <c r="V44" s="43">
        <f>U44-J44</f>
        <v/>
      </c>
      <c r="W44" s="44" t="inlineStr">
        <is>
          <t>Pendiente</t>
        </is>
      </c>
    </row>
    <row r="45" ht="28" customHeight="1">
      <c r="A45" s="4" t="inlineStr">
        <is>
          <t>4.37</t>
        </is>
      </c>
      <c r="B45" s="4" t="inlineStr">
        <is>
          <t>Cap 4</t>
        </is>
      </c>
      <c r="C45" s="4" t="inlineStr">
        <is>
          <t>Suministro e instalacion de luminaria de empotrar/sobreponer 12w tipo panel / bala Led downlight,  garantia minima 2 años.</t>
        </is>
      </c>
      <c r="D45" s="4" t="inlineStr">
        <is>
          <t>UND</t>
        </is>
      </c>
      <c r="E45" s="39" t="n">
        <v>28</v>
      </c>
      <c r="F45" s="40" t="n">
        <v>190757.07651</v>
      </c>
      <c r="G45" s="40">
        <f>E45*F45</f>
        <v/>
      </c>
      <c r="H45" s="4" t="inlineStr">
        <is>
          <t>(-)</t>
        </is>
      </c>
      <c r="I45" s="39" t="n">
        <v>7</v>
      </c>
      <c r="J45" s="40">
        <f>I45*N(F45)</f>
        <v/>
      </c>
      <c r="K45" s="41" t="n">
        <v>7</v>
      </c>
      <c r="L45" s="39">
        <f>I45-K45</f>
        <v/>
      </c>
      <c r="M45" s="40">
        <f>MAX(0,L45)*N(F45)</f>
        <v/>
      </c>
      <c r="N45" s="40">
        <f>MAX(0,-L45)*N(F45)</f>
        <v/>
      </c>
      <c r="O45" s="4" t="inlineStr">
        <is>
          <t>Concuerda</t>
        </is>
      </c>
      <c r="P45" s="4" t="inlineStr">
        <is>
          <t>DXF</t>
        </is>
      </c>
      <c r="Q45" s="4" t="inlineStr">
        <is>
          <t>DXF: 7 ojos de buey.</t>
        </is>
      </c>
      <c r="R45" s="4" t="inlineStr">
        <is>
          <t>—</t>
        </is>
      </c>
      <c r="S45" s="4" t="inlineStr">
        <is>
          <t>OBS-059</t>
        </is>
      </c>
      <c r="T45" s="42">
        <f>I45</f>
        <v/>
      </c>
      <c r="U45" s="43">
        <f>T45*N(F45)</f>
        <v/>
      </c>
      <c r="V45" s="43">
        <f>U45-J45</f>
        <v/>
      </c>
      <c r="W45" s="44" t="inlineStr">
        <is>
          <t>Validada</t>
        </is>
      </c>
    </row>
    <row r="46" ht="28" customHeight="1">
      <c r="A46" s="4" t="inlineStr">
        <is>
          <t>4.38</t>
        </is>
      </c>
      <c r="B46" s="4" t="inlineStr">
        <is>
          <t>Cap 4</t>
        </is>
      </c>
      <c r="C46" s="4" t="inlineStr">
        <is>
          <t>Suministro e instalacion de luminaria hermetica led plana 70W AC 85 265V 6500K.</t>
        </is>
      </c>
      <c r="D46" s="4" t="inlineStr">
        <is>
          <t>UND</t>
        </is>
      </c>
      <c r="E46" s="39" t="n">
        <v>25</v>
      </c>
      <c r="F46" s="40" t="n">
        <v>213540.51693</v>
      </c>
      <c r="G46" s="40">
        <f>E46*F46</f>
        <v/>
      </c>
      <c r="H46" s="4" t="inlineStr">
        <is>
          <t>(+)</t>
        </is>
      </c>
      <c r="I46" s="39" t="n">
        <v>38</v>
      </c>
      <c r="J46" s="40">
        <f>I46*N(F46)</f>
        <v/>
      </c>
      <c r="K46" s="41" t="n">
        <v>38</v>
      </c>
      <c r="L46" s="39">
        <f>I46-K46</f>
        <v/>
      </c>
      <c r="M46" s="40">
        <f>MAX(0,L46)*N(F46)</f>
        <v/>
      </c>
      <c r="N46" s="40">
        <f>MAX(0,-L46)*N(F46)</f>
        <v/>
      </c>
      <c r="O46" s="4" t="inlineStr">
        <is>
          <t>Concuerda</t>
        </is>
      </c>
      <c r="P46" s="4" t="inlineStr">
        <is>
          <t>DXF</t>
        </is>
      </c>
      <c r="Q46" s="4" t="inlineStr">
        <is>
          <t>DXF: 6 herméticas LED + 32 herméticas 2×18 = 38. El DXF muestra fluorescentes y el acta describe LED 70 W.</t>
        </is>
      </c>
      <c r="R46" s="4" t="inlineStr">
        <is>
          <t>Confirmar tipo de luminaria.</t>
        </is>
      </c>
      <c r="S46" s="4" t="inlineStr">
        <is>
          <t>OBS-059</t>
        </is>
      </c>
      <c r="T46" s="42">
        <f>I46</f>
        <v/>
      </c>
      <c r="U46" s="43">
        <f>T46*N(F46)</f>
        <v/>
      </c>
      <c r="V46" s="43">
        <f>U46-J46</f>
        <v/>
      </c>
      <c r="W46" s="44" t="inlineStr">
        <is>
          <t>Validada</t>
        </is>
      </c>
    </row>
    <row r="47" ht="28" customHeight="1">
      <c r="A47" s="4" t="inlineStr">
        <is>
          <t>4.39</t>
        </is>
      </c>
      <c r="B47" s="4" t="inlineStr">
        <is>
          <t>Cap 4</t>
        </is>
      </c>
      <c r="C47" s="4" t="inlineStr">
        <is>
          <t>Suministro e instalacion de luminaria de emergencia Led autonomia min 3H.</t>
        </is>
      </c>
      <c r="D47" s="4" t="inlineStr">
        <is>
          <t>UND</t>
        </is>
      </c>
      <c r="E47" s="39" t="n">
        <v>18</v>
      </c>
      <c r="F47" s="40" t="n">
        <v>264618.13755</v>
      </c>
      <c r="G47" s="40">
        <f>E47*F47</f>
        <v/>
      </c>
      <c r="H47" s="4" t="inlineStr">
        <is>
          <t>(-)</t>
        </is>
      </c>
      <c r="I47" s="39" t="n">
        <v>5</v>
      </c>
      <c r="J47" s="40">
        <f>I47*N(F47)</f>
        <v/>
      </c>
      <c r="K47" s="41" t="n">
        <v>5</v>
      </c>
      <c r="L47" s="39">
        <f>I47-K47</f>
        <v/>
      </c>
      <c r="M47" s="40">
        <f>MAX(0,L47)*N(F47)</f>
        <v/>
      </c>
      <c r="N47" s="40">
        <f>MAX(0,-L47)*N(F47)</f>
        <v/>
      </c>
      <c r="O47" s="4" t="inlineStr">
        <is>
          <t>Concuerda</t>
        </is>
      </c>
      <c r="P47" s="4" t="inlineStr">
        <is>
          <t>DXF</t>
        </is>
      </c>
      <c r="Q47" s="4" t="inlineStr">
        <is>
          <t>DXF: 5 emergencias.</t>
        </is>
      </c>
      <c r="R47" s="4" t="inlineStr">
        <is>
          <t>—</t>
        </is>
      </c>
      <c r="S47" s="4" t="inlineStr">
        <is>
          <t>OBS-059</t>
        </is>
      </c>
      <c r="T47" s="42">
        <f>I47</f>
        <v/>
      </c>
      <c r="U47" s="43">
        <f>T47*N(F47)</f>
        <v/>
      </c>
      <c r="V47" s="43">
        <f>U47-J47</f>
        <v/>
      </c>
      <c r="W47" s="44" t="inlineStr">
        <is>
          <t>Validada</t>
        </is>
      </c>
    </row>
    <row r="48" ht="28" customHeight="1">
      <c r="A48" s="4" t="inlineStr">
        <is>
          <t>4.40</t>
        </is>
      </c>
      <c r="B48" s="4" t="inlineStr">
        <is>
          <t>Cap 4</t>
        </is>
      </c>
      <c r="C48" s="4" t="inlineStr">
        <is>
          <t>Suministro e instalacion de luminaria de aplique led 12w, 6500k.</t>
        </is>
      </c>
      <c r="D48" s="4" t="inlineStr">
        <is>
          <t>UND</t>
        </is>
      </c>
      <c r="E48" s="39" t="n">
        <v>6</v>
      </c>
      <c r="F48" s="40" t="n">
        <v>261583.46331</v>
      </c>
      <c r="G48" s="40">
        <f>E48*F48</f>
        <v/>
      </c>
      <c r="H48" s="4" t="inlineStr">
        <is>
          <t>(-)</t>
        </is>
      </c>
      <c r="I48" s="39" t="n">
        <v>0</v>
      </c>
      <c r="J48" s="40">
        <f>I48*N(F48)</f>
        <v/>
      </c>
      <c r="K48" s="41" t="n"/>
      <c r="L48" s="39" t="n"/>
      <c r="M48" s="40" t="n"/>
      <c r="N48" s="40" t="n"/>
      <c r="O48" s="4" t="inlineStr">
        <is>
          <t>Retirado / reemplazado</t>
        </is>
      </c>
      <c r="P48" s="4" t="inlineStr">
        <is>
          <t>Acta</t>
        </is>
      </c>
      <c r="Q48" s="4" t="inlineStr">
        <is>
          <t>Retirado del contrato.</t>
        </is>
      </c>
      <c r="R48" s="4" t="inlineStr">
        <is>
          <t>—</t>
        </is>
      </c>
      <c r="S48" s="4" t="n"/>
      <c r="T48" s="42">
        <f>I48</f>
        <v/>
      </c>
      <c r="U48" s="43">
        <f>T48*N(F48)</f>
        <v/>
      </c>
      <c r="V48" s="43">
        <f>U48-J48</f>
        <v/>
      </c>
      <c r="W48" s="44" t="inlineStr">
        <is>
          <t>Validada</t>
        </is>
      </c>
    </row>
    <row r="49" ht="42" customHeight="1">
      <c r="A49" s="4" t="inlineStr">
        <is>
          <t>4.41</t>
        </is>
      </c>
      <c r="B49" s="4" t="inlineStr">
        <is>
          <t>Cap 4</t>
        </is>
      </c>
      <c r="C49" s="4" t="inlineStr">
        <is>
          <t>Suministro e instalacion de luminaria tipo alumbrado publico, 60w, 150 lm/w, 9000lm, 5000k, 50.000hrs, 5 años de garantia, inclinacion 150°x90°, CRI 80.</t>
        </is>
      </c>
      <c r="D49" s="4" t="inlineStr">
        <is>
          <t>UND</t>
        </is>
      </c>
      <c r="E49" s="39" t="n">
        <v>52</v>
      </c>
      <c r="F49" s="40" t="n">
        <v>1303843.37031</v>
      </c>
      <c r="G49" s="40">
        <f>E49*F49</f>
        <v/>
      </c>
      <c r="H49" s="4" t="inlineStr">
        <is>
          <t>(-)</t>
        </is>
      </c>
      <c r="I49" s="39" t="n">
        <v>0</v>
      </c>
      <c r="J49" s="40">
        <f>I49*N(F49)</f>
        <v/>
      </c>
      <c r="K49" s="41" t="n"/>
      <c r="L49" s="39" t="n"/>
      <c r="M49" s="40" t="n"/>
      <c r="N49" s="40" t="n"/>
      <c r="O49" s="4" t="inlineStr">
        <is>
          <t>Retirado / reemplazado</t>
        </is>
      </c>
      <c r="P49" s="4" t="inlineStr">
        <is>
          <t>Acta</t>
        </is>
      </c>
      <c r="Q49" s="4" t="inlineStr">
        <is>
          <t>Retirado del contrato.</t>
        </is>
      </c>
      <c r="R49" s="4" t="inlineStr">
        <is>
          <t>—</t>
        </is>
      </c>
      <c r="S49" s="4" t="n"/>
      <c r="T49" s="42">
        <f>I49</f>
        <v/>
      </c>
      <c r="U49" s="43">
        <f>T49*N(F49)</f>
        <v/>
      </c>
      <c r="V49" s="43">
        <f>U49-J49</f>
        <v/>
      </c>
      <c r="W49" s="44" t="inlineStr">
        <is>
          <t>Validada</t>
        </is>
      </c>
    </row>
    <row r="50" ht="28" customHeight="1">
      <c r="A50" s="4" t="inlineStr">
        <is>
          <t>4.42</t>
        </is>
      </c>
      <c r="B50" s="4" t="inlineStr">
        <is>
          <t>Cap 4</t>
        </is>
      </c>
      <c r="C50" s="4" t="inlineStr">
        <is>
          <t>Suministro e instalacion de Reflector Led 100w, 25.000 hrs.</t>
        </is>
      </c>
      <c r="D50" s="4" t="inlineStr">
        <is>
          <t>UND</t>
        </is>
      </c>
      <c r="E50" s="39" t="n">
        <v>4</v>
      </c>
      <c r="F50" s="40" t="n">
        <v>353652.56979</v>
      </c>
      <c r="G50" s="40">
        <f>E50*F50</f>
        <v/>
      </c>
      <c r="H50" s="4" t="inlineStr">
        <is>
          <t>(-)</t>
        </is>
      </c>
      <c r="I50" s="39" t="n">
        <v>0</v>
      </c>
      <c r="J50" s="40">
        <f>I50*N(F50)</f>
        <v/>
      </c>
      <c r="K50" s="41" t="n"/>
      <c r="L50" s="39" t="n"/>
      <c r="M50" s="40" t="n"/>
      <c r="N50" s="40" t="n"/>
      <c r="O50" s="4" t="inlineStr">
        <is>
          <t>Retirado / reemplazado</t>
        </is>
      </c>
      <c r="P50" s="4" t="inlineStr">
        <is>
          <t>Acta</t>
        </is>
      </c>
      <c r="Q50" s="4" t="inlineStr">
        <is>
          <t>Retirado del contrato.</t>
        </is>
      </c>
      <c r="R50" s="4" t="inlineStr">
        <is>
          <t>—</t>
        </is>
      </c>
      <c r="S50" s="4" t="n"/>
      <c r="T50" s="42">
        <f>I50</f>
        <v/>
      </c>
      <c r="U50" s="43">
        <f>T50*N(F50)</f>
        <v/>
      </c>
      <c r="V50" s="43">
        <f>U50-J50</f>
        <v/>
      </c>
      <c r="W50" s="44" t="inlineStr">
        <is>
          <t>Validada</t>
        </is>
      </c>
    </row>
    <row r="51" ht="70" customHeight="1">
      <c r="A51" s="4" t="inlineStr">
        <is>
          <t>4.43</t>
        </is>
      </c>
      <c r="B51" s="4" t="inlineStr">
        <is>
          <t>Cap 4</t>
        </is>
      </c>
      <c r="C51" s="4" t="inlineStr">
        <is>
          <t>Suministro e instalacion luminaria especializada en escenarios deportivos exteriores led SMD3030/3050, Flujo 173.900Lm, 5000K, 100-277VAC, FP 0,95, THD15%, Vida Util 100.000 Hrs, IP66, IK08, EFIC driver superior a 93%, DPS 10KV, 5 años de garantia, Rertificacion RETILAP y UL. PC.</t>
        </is>
      </c>
      <c r="D51" s="4" t="inlineStr">
        <is>
          <t>UND</t>
        </is>
      </c>
      <c r="E51" s="39" t="n">
        <v>33</v>
      </c>
      <c r="F51" s="40" t="n">
        <v>19784120.91435</v>
      </c>
      <c r="G51" s="40">
        <f>E51*F51</f>
        <v/>
      </c>
      <c r="H51" s="4" t="inlineStr">
        <is>
          <t>(-)</t>
        </is>
      </c>
      <c r="I51" s="39" t="n">
        <v>0</v>
      </c>
      <c r="J51" s="40">
        <f>I51*N(F51)</f>
        <v/>
      </c>
      <c r="K51" s="41" t="n"/>
      <c r="L51" s="39" t="n"/>
      <c r="M51" s="40" t="n"/>
      <c r="N51" s="40" t="n"/>
      <c r="O51" s="4" t="inlineStr">
        <is>
          <t>Retirado / reemplazado</t>
        </is>
      </c>
      <c r="P51" s="4" t="inlineStr">
        <is>
          <t>Acta</t>
        </is>
      </c>
      <c r="Q51" s="4" t="inlineStr">
        <is>
          <t>Reemplazado por IN16.18 e IN16.19.</t>
        </is>
      </c>
      <c r="R51" s="4" t="inlineStr">
        <is>
          <t>—</t>
        </is>
      </c>
      <c r="S51" s="4" t="inlineStr">
        <is>
          <t>OBS-007, OBS-011</t>
        </is>
      </c>
      <c r="T51" s="42">
        <f>I51</f>
        <v/>
      </c>
      <c r="U51" s="43">
        <f>T51*N(F51)</f>
        <v/>
      </c>
      <c r="V51" s="43">
        <f>U51-J51</f>
        <v/>
      </c>
      <c r="W51" s="44" t="inlineStr">
        <is>
          <t>Validada</t>
        </is>
      </c>
    </row>
    <row r="52">
      <c r="A52" s="4" t="inlineStr">
        <is>
          <t>4.44</t>
        </is>
      </c>
      <c r="B52" s="4" t="inlineStr">
        <is>
          <t>Cap 4</t>
        </is>
      </c>
      <c r="C52" s="4" t="inlineStr">
        <is>
          <t>Orientación de refletores deportivos.</t>
        </is>
      </c>
      <c r="D52" s="4" t="inlineStr">
        <is>
          <t>UND</t>
        </is>
      </c>
      <c r="E52" s="39" t="n">
        <v>32</v>
      </c>
      <c r="F52" s="40" t="n">
        <v>670209.62463</v>
      </c>
      <c r="G52" s="40">
        <f>E52*F52</f>
        <v/>
      </c>
      <c r="H52" s="4" t="inlineStr">
        <is>
          <t>(+)</t>
        </is>
      </c>
      <c r="I52" s="39" t="n">
        <v>78</v>
      </c>
      <c r="J52" s="40">
        <f>I52*N(F52)</f>
        <v/>
      </c>
      <c r="K52" s="41">
        <f>Balance_Cantidades!H11</f>
        <v/>
      </c>
      <c r="L52" s="39">
        <f>I52-K52</f>
        <v/>
      </c>
      <c r="M52" s="40">
        <f>MAX(0,L52)*N(F52)</f>
        <v/>
      </c>
      <c r="N52" s="40">
        <f>MAX(0,-L52)*N(F52)</f>
        <v/>
      </c>
      <c r="O52" s="4" t="inlineStr">
        <is>
          <t>Discrepa</t>
        </is>
      </c>
      <c r="P52" s="4" t="inlineStr">
        <is>
          <t>Planos</t>
        </is>
      </c>
      <c r="Q52" s="4" t="inlineStr">
        <is>
          <t>Acta: 78. Criterio de la interventoría: solo 4, para Fútbol (una por mástil).</t>
        </is>
      </c>
      <c r="R52" s="4" t="inlineStr">
        <is>
          <t>Ajustar a 4.</t>
        </is>
      </c>
      <c r="S52" s="4" t="inlineStr">
        <is>
          <t>OBS-014</t>
        </is>
      </c>
      <c r="T52" s="42" t="n">
        <v>4</v>
      </c>
      <c r="U52" s="43">
        <f>T52*N(F52)</f>
        <v/>
      </c>
      <c r="V52" s="43">
        <f>U52-J52</f>
        <v/>
      </c>
      <c r="W52" s="44" t="inlineStr">
        <is>
          <t>Validada</t>
        </is>
      </c>
    </row>
    <row r="53" ht="28" customHeight="1">
      <c r="A53" s="4" t="inlineStr">
        <is>
          <t>4.45</t>
        </is>
      </c>
      <c r="B53" s="4" t="inlineStr">
        <is>
          <t>Cap 4</t>
        </is>
      </c>
      <c r="C53" s="4" t="inlineStr">
        <is>
          <t>Suministro e instalacion de poste alumbrado publico brazo sencillo, altura 5  a 6 mts, incluye pernos de anclaje.</t>
        </is>
      </c>
      <c r="D53" s="4" t="inlineStr">
        <is>
          <t>UND</t>
        </is>
      </c>
      <c r="E53" s="39" t="n">
        <v>8</v>
      </c>
      <c r="F53" s="40" t="n">
        <v>4926502.632480001</v>
      </c>
      <c r="G53" s="40">
        <f>E53*F53</f>
        <v/>
      </c>
      <c r="H53" s="4" t="inlineStr">
        <is>
          <t>(-)</t>
        </is>
      </c>
      <c r="I53" s="39" t="n">
        <v>0</v>
      </c>
      <c r="J53" s="40">
        <f>I53*N(F53)</f>
        <v/>
      </c>
      <c r="K53" s="41" t="n"/>
      <c r="L53" s="39" t="n"/>
      <c r="M53" s="40" t="n"/>
      <c r="N53" s="40" t="n"/>
      <c r="O53" s="4" t="inlineStr">
        <is>
          <t>Retirado / reemplazado</t>
        </is>
      </c>
      <c r="P53" s="4" t="inlineStr">
        <is>
          <t>Acta</t>
        </is>
      </c>
      <c r="Q53" s="4" t="inlineStr">
        <is>
          <t>Retirado del contrato.</t>
        </is>
      </c>
      <c r="R53" s="4" t="inlineStr">
        <is>
          <t>—</t>
        </is>
      </c>
      <c r="S53" s="4" t="n"/>
      <c r="T53" s="42">
        <f>I53</f>
        <v/>
      </c>
      <c r="U53" s="43">
        <f>T53*N(F53)</f>
        <v/>
      </c>
      <c r="V53" s="43">
        <f>U53-J53</f>
        <v/>
      </c>
      <c r="W53" s="44" t="inlineStr">
        <is>
          <t>Validada</t>
        </is>
      </c>
    </row>
    <row r="54" ht="28" customHeight="1">
      <c r="A54" s="4" t="inlineStr">
        <is>
          <t>4.46</t>
        </is>
      </c>
      <c r="B54" s="4" t="inlineStr">
        <is>
          <t>Cap 4</t>
        </is>
      </c>
      <c r="C54" s="4" t="inlineStr">
        <is>
          <t>Suministro e instalacion de poste alumbrado publico brazo doble altura 5  a 6 mts, incluye pernos de anclaje.</t>
        </is>
      </c>
      <c r="D54" s="4" t="inlineStr">
        <is>
          <t>UND</t>
        </is>
      </c>
      <c r="E54" s="39" t="n">
        <v>21</v>
      </c>
      <c r="F54" s="40" t="n">
        <v>5160338.832480001</v>
      </c>
      <c r="G54" s="40">
        <f>E54*F54</f>
        <v/>
      </c>
      <c r="H54" s="4" t="inlineStr">
        <is>
          <t>(-)</t>
        </is>
      </c>
      <c r="I54" s="39" t="n">
        <v>0</v>
      </c>
      <c r="J54" s="40">
        <f>I54*N(F54)</f>
        <v/>
      </c>
      <c r="K54" s="41" t="n"/>
      <c r="L54" s="39" t="n"/>
      <c r="M54" s="40" t="n"/>
      <c r="N54" s="40" t="n"/>
      <c r="O54" s="4" t="inlineStr">
        <is>
          <t>Retirado / reemplazado</t>
        </is>
      </c>
      <c r="P54" s="4" t="inlineStr">
        <is>
          <t>Acta</t>
        </is>
      </c>
      <c r="Q54" s="4" t="inlineStr">
        <is>
          <t>Retirado del contrato.</t>
        </is>
      </c>
      <c r="R54" s="4" t="inlineStr">
        <is>
          <t>—</t>
        </is>
      </c>
      <c r="S54" s="4" t="n"/>
      <c r="T54" s="42">
        <f>I54</f>
        <v/>
      </c>
      <c r="U54" s="43">
        <f>T54*N(F54)</f>
        <v/>
      </c>
      <c r="V54" s="43">
        <f>U54-J54</f>
        <v/>
      </c>
      <c r="W54" s="44" t="inlineStr">
        <is>
          <t>Validada</t>
        </is>
      </c>
    </row>
    <row r="55" ht="28" customHeight="1">
      <c r="A55" s="4" t="inlineStr">
        <is>
          <t>4.47</t>
        </is>
      </c>
      <c r="B55" s="4" t="inlineStr">
        <is>
          <t>Cap 4</t>
        </is>
      </c>
      <c r="C55" s="4" t="inlineStr">
        <is>
          <t>Suministro e Instalacion de mastil de Iluminacion altura 22 mts, capacidad de 8  reflectores, incluye transporte, linea de vida.</t>
        </is>
      </c>
      <c r="D55" s="4" t="inlineStr">
        <is>
          <t>UND</t>
        </is>
      </c>
      <c r="E55" s="39" t="n">
        <v>4</v>
      </c>
      <c r="F55" s="40" t="n">
        <v>57610106.37681001</v>
      </c>
      <c r="G55" s="40">
        <f>E55*F55</f>
        <v/>
      </c>
      <c r="H55" s="4" t="inlineStr">
        <is>
          <t>(-)</t>
        </is>
      </c>
      <c r="I55" s="48" t="n">
        <v>0</v>
      </c>
      <c r="J55" s="40">
        <f>I55*N(F55)</f>
        <v/>
      </c>
      <c r="K55" s="41" t="n"/>
      <c r="L55" s="39" t="n"/>
      <c r="M55" s="40" t="n"/>
      <c r="N55" s="40" t="n"/>
      <c r="O55" s="4" t="inlineStr">
        <is>
          <t>Retirado / reemplazado</t>
        </is>
      </c>
      <c r="P55" s="4" t="inlineStr">
        <is>
          <t>Acta</t>
        </is>
      </c>
      <c r="Q55" s="4" t="inlineStr">
        <is>
          <t>Reemplazado por IN14.21 (capacidad 10 al mismo precio). RECOMENDAMOS NO CREAR ITEM NUEVO, SE DEJA EL MISMO</t>
        </is>
      </c>
      <c r="R55" s="4" t="inlineStr">
        <is>
          <t>—</t>
        </is>
      </c>
      <c r="S55" s="4" t="inlineStr">
        <is>
          <t>OBS-009</t>
        </is>
      </c>
      <c r="T55" s="42" t="n">
        <v>4</v>
      </c>
      <c r="U55" s="43">
        <f>T55*N(F55)</f>
        <v/>
      </c>
      <c r="V55" s="43">
        <f>U55-J55</f>
        <v/>
      </c>
      <c r="W55" s="44" t="inlineStr">
        <is>
          <t>Validada</t>
        </is>
      </c>
    </row>
    <row r="56" ht="42" customHeight="1">
      <c r="A56" s="4" t="inlineStr">
        <is>
          <t>4.48</t>
        </is>
      </c>
      <c r="B56" s="4" t="inlineStr">
        <is>
          <t>Cap 4</t>
        </is>
      </c>
      <c r="C56" s="4" t="inlineStr">
        <is>
          <t>Zapata en concreto para poste de alumbrado publico.</t>
        </is>
      </c>
      <c r="D56" s="4" t="inlineStr">
        <is>
          <t>UND</t>
        </is>
      </c>
      <c r="E56" s="39" t="n">
        <v>29</v>
      </c>
      <c r="F56" s="40" t="n">
        <v>792859.3097100002</v>
      </c>
      <c r="G56" s="40">
        <f>E56*F56</f>
        <v/>
      </c>
      <c r="H56" s="4" t="inlineStr">
        <is>
          <t>(-)</t>
        </is>
      </c>
      <c r="I56" s="48" t="n">
        <v>0</v>
      </c>
      <c r="J56" s="40">
        <f>I56*N(F56)</f>
        <v/>
      </c>
      <c r="K56" s="41" t="n"/>
      <c r="L56" s="39" t="n"/>
      <c r="M56" s="40" t="n"/>
      <c r="N56" s="40" t="n"/>
      <c r="O56" s="4" t="inlineStr">
        <is>
          <t>Ítem faltante</t>
        </is>
      </c>
      <c r="P56" s="4" t="inlineStr">
        <is>
          <t>Acta</t>
        </is>
      </c>
      <c r="Q56" s="4" t="inlineStr">
        <is>
          <t>Zapatas retiradas (29→0) y no hay cimentación para mástiles de 22 m ni postes de 12 m en IN14. Ver NUEVO-05 y NUEVO-06. REVISR POR QUE ELIMINAN ESTE ITEM</t>
        </is>
      </c>
      <c r="R56" s="4" t="inlineStr">
        <is>
          <t>Crear ítem de cimentación.</t>
        </is>
      </c>
      <c r="S56" s="4" t="inlineStr">
        <is>
          <t>OBS-057</t>
        </is>
      </c>
      <c r="T56" s="42">
        <f>I56</f>
        <v/>
      </c>
      <c r="U56" s="43">
        <f>T56*N(F56)</f>
        <v/>
      </c>
      <c r="V56" s="43">
        <f>U56-J56</f>
        <v/>
      </c>
      <c r="W56" s="44" t="inlineStr">
        <is>
          <t>Pendiente</t>
        </is>
      </c>
    </row>
    <row r="57" ht="28" customHeight="1">
      <c r="A57" s="4" t="inlineStr">
        <is>
          <t>4.49</t>
        </is>
      </c>
      <c r="B57" s="4" t="inlineStr">
        <is>
          <t>Cap 4</t>
        </is>
      </c>
      <c r="C57" s="4" t="inlineStr">
        <is>
          <t>Suministro e instalacion de medida semidirecta para operador de red.</t>
        </is>
      </c>
      <c r="D57" s="4" t="inlineStr">
        <is>
          <t>UND</t>
        </is>
      </c>
      <c r="E57" s="39" t="n">
        <v>1</v>
      </c>
      <c r="F57" s="40" t="n">
        <v>22546985.25456</v>
      </c>
      <c r="G57" s="40">
        <f>E57*F57</f>
        <v/>
      </c>
      <c r="H57" s="4" t="inlineStr">
        <is>
          <t>(-)</t>
        </is>
      </c>
      <c r="I57" s="39" t="n">
        <v>0</v>
      </c>
      <c r="J57" s="40">
        <f>I57*N(F57)</f>
        <v/>
      </c>
      <c r="K57" s="41" t="n"/>
      <c r="L57" s="39" t="n"/>
      <c r="M57" s="40" t="n"/>
      <c r="N57" s="40" t="n"/>
      <c r="O57" s="4" t="inlineStr">
        <is>
          <t>Retirado / reemplazado</t>
        </is>
      </c>
      <c r="P57" s="4" t="inlineStr">
        <is>
          <t>Acta</t>
        </is>
      </c>
      <c r="Q57" s="4" t="inlineStr">
        <is>
          <t>Reemplazado por IN14.22 (medida indirecta).</t>
        </is>
      </c>
      <c r="R57" s="4" t="inlineStr">
        <is>
          <t>—</t>
        </is>
      </c>
      <c r="S57" s="4" t="inlineStr">
        <is>
          <t>OBS-051</t>
        </is>
      </c>
      <c r="T57" s="42">
        <f>I57</f>
        <v/>
      </c>
      <c r="U57" s="43">
        <f>T57*N(F57)</f>
        <v/>
      </c>
      <c r="V57" s="43">
        <f>U57-J57</f>
        <v/>
      </c>
      <c r="W57" s="44" t="inlineStr">
        <is>
          <t>Validada</t>
        </is>
      </c>
    </row>
    <row r="58" ht="28" customHeight="1">
      <c r="A58" s="4" t="inlineStr">
        <is>
          <t>4.50</t>
        </is>
      </c>
      <c r="B58" s="4" t="inlineStr">
        <is>
          <t>Cap 4</t>
        </is>
      </c>
      <c r="C58" s="4" t="inlineStr">
        <is>
          <t>Registro electrico de 0.40x0.40m en mampostería reforzada, incluye tapa en concreto con angulos metalicos.</t>
        </is>
      </c>
      <c r="D58" s="4" t="inlineStr">
        <is>
          <t>UND</t>
        </is>
      </c>
      <c r="E58" s="39" t="n">
        <v>28</v>
      </c>
      <c r="F58" s="40" t="n">
        <v>812345.65971</v>
      </c>
      <c r="G58" s="40">
        <f>E58*F58</f>
        <v/>
      </c>
      <c r="H58" s="4" t="inlineStr">
        <is>
          <t>(-)</t>
        </is>
      </c>
      <c r="I58" s="39" t="n">
        <v>15</v>
      </c>
      <c r="J58" s="40">
        <f>I58*N(F58)</f>
        <v/>
      </c>
      <c r="K58" s="41" t="n">
        <v>20</v>
      </c>
      <c r="L58" s="39">
        <f>I58-K58</f>
        <v/>
      </c>
      <c r="M58" s="40">
        <f>MAX(0,L58)*N(F58)</f>
        <v/>
      </c>
      <c r="N58" s="40">
        <f>MAX(0,-L58)*N(F58)</f>
        <v/>
      </c>
      <c r="O58" s="4" t="inlineStr">
        <is>
          <t>Discrepa</t>
        </is>
      </c>
      <c r="P58" s="4" t="inlineStr">
        <is>
          <t>DXF</t>
        </is>
      </c>
      <c r="Q58" s="4" t="inlineStr">
        <is>
          <t>DXF: 20 registros 40×40 BT (+1 de MT). Acta: 15.</t>
        </is>
      </c>
      <c r="R58" s="4" t="inlineStr">
        <is>
          <t>Plano de registros.</t>
        </is>
      </c>
      <c r="S58" s="4" t="inlineStr">
        <is>
          <t>OBS-060</t>
        </is>
      </c>
      <c r="T58" s="42">
        <f>I58</f>
        <v/>
      </c>
      <c r="U58" s="43">
        <f>T58*N(F58)</f>
        <v/>
      </c>
      <c r="V58" s="43">
        <f>U58-J58</f>
        <v/>
      </c>
      <c r="W58" s="44" t="inlineStr">
        <is>
          <t>Pendiente</t>
        </is>
      </c>
    </row>
    <row r="59" ht="28" customHeight="1">
      <c r="A59" s="4" t="inlineStr">
        <is>
          <t>4.51</t>
        </is>
      </c>
      <c r="B59" s="4" t="inlineStr">
        <is>
          <t>Cap 4</t>
        </is>
      </c>
      <c r="C59" s="4" t="inlineStr">
        <is>
          <t>Registro electrico de 0.60x0.60m en mampostería reforzada, incluye tapa en concreto con angulos metalicos.</t>
        </is>
      </c>
      <c r="D59" s="4" t="inlineStr">
        <is>
          <t>UND</t>
        </is>
      </c>
      <c r="E59" s="39" t="n">
        <v>10</v>
      </c>
      <c r="F59" s="40" t="n">
        <v>1099132.76811</v>
      </c>
      <c r="G59" s="40">
        <f>E59*F59</f>
        <v/>
      </c>
      <c r="H59" s="4" t="inlineStr">
        <is>
          <t>(+)</t>
        </is>
      </c>
      <c r="I59" s="39" t="n">
        <v>14</v>
      </c>
      <c r="J59" s="40">
        <f>I59*N(F59)</f>
        <v/>
      </c>
      <c r="K59" s="41" t="n"/>
      <c r="L59" s="39" t="n"/>
      <c r="M59" s="40" t="n"/>
      <c r="N59" s="40" t="n"/>
      <c r="O59" s="4" t="inlineStr">
        <is>
          <t>Verificar</t>
        </is>
      </c>
      <c r="P59" s="4" t="inlineStr">
        <is>
          <t>DXF</t>
        </is>
      </c>
      <c r="Q59" s="4" t="inlineStr">
        <is>
          <t>El DXF no muestra registros de 60×60.</t>
        </is>
      </c>
      <c r="R59" s="4" t="inlineStr">
        <is>
          <t>Plano de registros.</t>
        </is>
      </c>
      <c r="S59" s="4" t="inlineStr">
        <is>
          <t>OBS-060</t>
        </is>
      </c>
      <c r="T59" s="42">
        <f>I59</f>
        <v/>
      </c>
      <c r="U59" s="43">
        <f>T59*N(F59)</f>
        <v/>
      </c>
      <c r="V59" s="43">
        <f>U59-J59</f>
        <v/>
      </c>
      <c r="W59" s="44" t="inlineStr">
        <is>
          <t>Pendiente</t>
        </is>
      </c>
    </row>
    <row r="60" ht="28" customHeight="1">
      <c r="A60" s="4" t="inlineStr">
        <is>
          <t>4.52</t>
        </is>
      </c>
      <c r="B60" s="4" t="inlineStr">
        <is>
          <t>Cap 4</t>
        </is>
      </c>
      <c r="C60" s="4" t="inlineStr">
        <is>
          <t>Registro electrico de 0.80x0.80m en mampostería reforzada, incluye tapa en concreto con angulos metalicos.</t>
        </is>
      </c>
      <c r="D60" s="4" t="inlineStr">
        <is>
          <t>UND</t>
        </is>
      </c>
      <c r="E60" s="39" t="n">
        <v>3</v>
      </c>
      <c r="F60" s="40" t="n">
        <v>1466825.90262</v>
      </c>
      <c r="G60" s="40">
        <f>E60*F60</f>
        <v/>
      </c>
      <c r="H60" s="4" t="inlineStr">
        <is>
          <t>(=)</t>
        </is>
      </c>
      <c r="I60" s="39" t="n">
        <v>3</v>
      </c>
      <c r="J60" s="40">
        <f>I60*N(F60)</f>
        <v/>
      </c>
      <c r="K60" s="41" t="n"/>
      <c r="L60" s="39" t="n"/>
      <c r="M60" s="40" t="n"/>
      <c r="N60" s="40" t="n"/>
      <c r="O60" s="4" t="inlineStr">
        <is>
          <t>Verificar</t>
        </is>
      </c>
      <c r="P60" s="4" t="inlineStr">
        <is>
          <t>DXF</t>
        </is>
      </c>
      <c r="Q60" s="4" t="inlineStr">
        <is>
          <t>El DXF no muestra registros de 80×80.</t>
        </is>
      </c>
      <c r="R60" s="4" t="inlineStr">
        <is>
          <t>Plano de registros.</t>
        </is>
      </c>
      <c r="S60" s="4" t="inlineStr">
        <is>
          <t>OBS-060</t>
        </is>
      </c>
      <c r="T60" s="42">
        <f>I60</f>
        <v/>
      </c>
      <c r="U60" s="43">
        <f>T60*N(F60)</f>
        <v/>
      </c>
      <c r="V60" s="43">
        <f>U60-J60</f>
        <v/>
      </c>
      <c r="W60" s="44" t="inlineStr">
        <is>
          <t>Pendiente</t>
        </is>
      </c>
    </row>
    <row r="61">
      <c r="A61" s="21" t="n"/>
      <c r="B61" s="21" t="n"/>
      <c r="C61" s="3" t="inlineStr">
        <is>
          <t>Subtotal Cap. 4</t>
        </is>
      </c>
      <c r="D61" s="21" t="n"/>
      <c r="E61" s="21" t="n"/>
      <c r="F61" s="21" t="n"/>
      <c r="G61" s="45">
        <f>SUM(G9:G60)</f>
        <v/>
      </c>
      <c r="H61" s="21" t="n"/>
      <c r="I61" s="21" t="n"/>
      <c r="J61" s="45">
        <f>SUM(J9:J60)</f>
        <v/>
      </c>
      <c r="K61" s="21" t="n"/>
      <c r="L61" s="21" t="n"/>
      <c r="M61" s="45">
        <f>SUM(M9:M60)</f>
        <v/>
      </c>
      <c r="N61" s="45">
        <f>SUM(N9:N60)</f>
        <v/>
      </c>
      <c r="O61" s="21" t="n"/>
      <c r="P61" s="21" t="n"/>
      <c r="Q61" s="21" t="n"/>
      <c r="R61" s="21" t="n"/>
      <c r="S61" s="21" t="n"/>
      <c r="T61" s="46" t="n"/>
      <c r="U61" s="47">
        <f>SUM(U9:U60)</f>
        <v/>
      </c>
      <c r="V61" s="47">
        <f>SUM(V9:V60)</f>
        <v/>
      </c>
      <c r="W61" s="46" t="n"/>
    </row>
    <row r="62">
      <c r="A62" s="16" t="inlineStr">
        <is>
          <t>ÍTEMS NUEVOS ELÉCTRICOS (IN14) – según acta</t>
        </is>
      </c>
      <c r="B62" s="17" t="n"/>
      <c r="C62" s="17" t="n"/>
      <c r="D62" s="17" t="n"/>
      <c r="E62" s="17" t="n"/>
      <c r="F62" s="17" t="n"/>
      <c r="G62" s="17" t="n"/>
      <c r="H62" s="17" t="n"/>
      <c r="I62" s="17" t="n"/>
      <c r="J62" s="17" t="n"/>
      <c r="K62" s="17" t="n"/>
      <c r="L62" s="17" t="n"/>
      <c r="M62" s="17" t="n"/>
      <c r="N62" s="17" t="n"/>
      <c r="O62" s="17" t="n"/>
      <c r="P62" s="17" t="n"/>
      <c r="Q62" s="17" t="n"/>
      <c r="R62" s="17" t="n"/>
      <c r="S62" s="17" t="n"/>
    </row>
    <row r="63" ht="28" customHeight="1">
      <c r="A63" s="4" t="inlineStr">
        <is>
          <t>IN14.4</t>
        </is>
      </c>
      <c r="B63" s="4" t="inlineStr">
        <is>
          <t>IN14</t>
        </is>
      </c>
      <c r="C63" s="4" t="inlineStr">
        <is>
          <t>Banco de ducto (3") PVC conduit + reserva 3".</t>
        </is>
      </c>
      <c r="D63" s="4" t="inlineStr">
        <is>
          <t>M</t>
        </is>
      </c>
      <c r="E63" s="39" t="n"/>
      <c r="F63" s="40" t="n">
        <v>191614</v>
      </c>
      <c r="G63" s="40" t="n"/>
      <c r="H63" s="4" t="n"/>
      <c r="I63" s="48" t="n">
        <v>12</v>
      </c>
      <c r="J63" s="40">
        <f>I63*N(F63)</f>
        <v/>
      </c>
      <c r="K63" s="41" t="n"/>
      <c r="L63" s="39" t="n"/>
      <c r="M63" s="40" t="n"/>
      <c r="N63" s="40" t="n"/>
      <c r="O63" s="4" t="inlineStr">
        <is>
          <t>Verificar</t>
        </is>
      </c>
      <c r="P63" s="4" t="inlineStr">
        <is>
          <t>Cálculo</t>
        </is>
      </c>
      <c r="Q63" s="4" t="inlineStr">
        <is>
          <t>Banco de ducto de 12 m contra 27,6 m de acometida en IN14.7. QUITAR EN ELA DESCRICION RESERVA DE 3" REAJUSTAR APU</t>
        </is>
      </c>
      <c r="R63" s="4" t="inlineStr">
        <is>
          <t>Conciliar con plano de recorridos.</t>
        </is>
      </c>
      <c r="S63" s="4" t="inlineStr">
        <is>
          <t>OBS-038, OBS-064</t>
        </is>
      </c>
      <c r="T63" s="42">
        <f>I63</f>
        <v/>
      </c>
      <c r="U63" s="43">
        <f>T63*N(F63)</f>
        <v/>
      </c>
      <c r="V63" s="43">
        <f>U63-J63</f>
        <v/>
      </c>
      <c r="W63" s="44" t="inlineStr">
        <is>
          <t>Pendiente</t>
        </is>
      </c>
    </row>
    <row r="64" ht="28" customHeight="1">
      <c r="A64" s="4" t="inlineStr">
        <is>
          <t>IN14.5</t>
        </is>
      </c>
      <c r="B64" s="4" t="inlineStr">
        <is>
          <t>IN14</t>
        </is>
      </c>
      <c r="C64" s="4" t="inlineStr">
        <is>
          <t>Banco de ducto 4X(1 1/2") PVC conduit + 2 reserva 1 1/2".</t>
        </is>
      </c>
      <c r="D64" s="4" t="inlineStr">
        <is>
          <t>M</t>
        </is>
      </c>
      <c r="E64" s="39" t="n"/>
      <c r="F64" s="40" t="n">
        <v>220279</v>
      </c>
      <c r="G64" s="40" t="n"/>
      <c r="H64" s="4" t="n"/>
      <c r="I64" s="39" t="n">
        <v>711.6</v>
      </c>
      <c r="J64" s="40">
        <f>I64*N(F64)</f>
        <v/>
      </c>
      <c r="K64" s="41" t="n"/>
      <c r="L64" s="39" t="n"/>
      <c r="M64" s="40" t="n"/>
      <c r="N64" s="40" t="n"/>
      <c r="O64" s="4" t="inlineStr">
        <is>
          <t>Verificar</t>
        </is>
      </c>
      <c r="P64" s="4" t="inlineStr">
        <is>
          <t>DXF</t>
        </is>
      </c>
      <c r="Q64" s="4" t="inlineStr">
        <is>
          <t>711,6 m de banco 4×1½". DXF: ≈ 576 m para mástiles (BT-05 sin trazado). Posible duplicidad con 4.10/4.11.</t>
        </is>
      </c>
      <c r="R64" s="4" t="inlineStr">
        <is>
          <t>Plano de recorridos y APU.</t>
        </is>
      </c>
      <c r="S64" s="4" t="inlineStr">
        <is>
          <t>OBS-056, OBS-064</t>
        </is>
      </c>
      <c r="T64" s="42">
        <f>I64</f>
        <v/>
      </c>
      <c r="U64" s="43">
        <f>T64*N(F64)</f>
        <v/>
      </c>
      <c r="V64" s="43">
        <f>U64-J64</f>
        <v/>
      </c>
      <c r="W64" s="44" t="inlineStr">
        <is>
          <t>Pendiente</t>
        </is>
      </c>
    </row>
    <row r="65" ht="28" customHeight="1">
      <c r="A65" s="4" t="inlineStr">
        <is>
          <t>IN14.6</t>
        </is>
      </c>
      <c r="B65" s="4" t="inlineStr">
        <is>
          <t>IN14</t>
        </is>
      </c>
      <c r="C65" s="4" t="inlineStr">
        <is>
          <t>Banco de ducto 2x1" PVC conduit + reserva 1" PVC.</t>
        </is>
      </c>
      <c r="D65" s="4" t="inlineStr">
        <is>
          <t>M</t>
        </is>
      </c>
      <c r="E65" s="39" t="n"/>
      <c r="F65" s="40" t="n">
        <v>121418</v>
      </c>
      <c r="G65" s="40" t="n"/>
      <c r="H65" s="4" t="n"/>
      <c r="I65" s="39" t="n">
        <v>304.8</v>
      </c>
      <c r="J65" s="40">
        <f>I65*N(F65)</f>
        <v/>
      </c>
      <c r="K65" s="41" t="n"/>
      <c r="L65" s="39" t="n"/>
      <c r="M65" s="40" t="n"/>
      <c r="N65" s="40" t="n"/>
      <c r="O65" s="4" t="inlineStr">
        <is>
          <t>Verificar</t>
        </is>
      </c>
      <c r="P65" s="4" t="inlineStr">
        <is>
          <t>Unifilar</t>
        </is>
      </c>
      <c r="Q65" s="4" t="inlineStr">
        <is>
          <t>304,8 m de banco 2×1". El unifilar tiene 2 circuitos de cancha; el cálculo 6 postes.</t>
        </is>
      </c>
      <c r="R65" s="4" t="inlineStr">
        <is>
          <t>Plano de recorridos.</t>
        </is>
      </c>
      <c r="S65" s="4" t="inlineStr">
        <is>
          <t>OBS-064</t>
        </is>
      </c>
      <c r="T65" s="42">
        <f>I65</f>
        <v/>
      </c>
      <c r="U65" s="43">
        <f>T65*N(F65)</f>
        <v/>
      </c>
      <c r="V65" s="43">
        <f>U65-J65</f>
        <v/>
      </c>
      <c r="W65" s="44" t="inlineStr">
        <is>
          <t>Pendiente</t>
        </is>
      </c>
    </row>
    <row r="66" ht="42" customHeight="1">
      <c r="A66" s="4" t="inlineStr">
        <is>
          <t>IN14.7</t>
        </is>
      </c>
      <c r="B66" s="4" t="inlineStr">
        <is>
          <t>IN14</t>
        </is>
      </c>
      <c r="C66" s="4" t="inlineStr">
        <is>
          <t>Acometida en (2x350 MCM Al S8000 THWN-2 LSHF)(F)+(350 MCM Al S8000 THWN-2 LSHF)(N). Transforamdor a Tablero General y Control Ilum</t>
        </is>
      </c>
      <c r="D66" s="4" t="inlineStr">
        <is>
          <t>M</t>
        </is>
      </c>
      <c r="E66" s="39" t="n"/>
      <c r="F66" s="40" t="n">
        <v>471887</v>
      </c>
      <c r="G66" s="40" t="n"/>
      <c r="H66" s="4" t="n"/>
      <c r="I66" s="39" t="n">
        <v>27.6</v>
      </c>
      <c r="J66" s="40">
        <f>I66*N(F66)</f>
        <v/>
      </c>
      <c r="K66" s="41">
        <f>Balance_Cantidades!H16</f>
        <v/>
      </c>
      <c r="L66" s="39">
        <f>I66-K66</f>
        <v/>
      </c>
      <c r="M66" s="40">
        <f>MAX(0,L66)*N(F66)</f>
        <v/>
      </c>
      <c r="N66" s="40">
        <f>MAX(0,-L66)*N(F66)</f>
        <v/>
      </c>
      <c r="O66" s="4" t="inlineStr">
        <is>
          <t>Discrepa</t>
        </is>
      </c>
      <c r="P66" s="4" t="inlineStr">
        <is>
          <t>Unifilar / cálculo</t>
        </is>
      </c>
      <c r="Q66" s="4" t="inlineStr">
        <is>
          <t>Calibre 2×350 MCM Al coincide con unifilar y cálculo. Longitud 27,6 m frente a 15 m del cálculo. CORREGIR EN MEMORIAS DE CALCULO</t>
        </is>
      </c>
      <c r="R66" s="4" t="inlineStr">
        <is>
          <t>Conciliar longitud.</t>
        </is>
      </c>
      <c r="S66" s="4" t="inlineStr">
        <is>
          <t>OBS-050, OBS-038</t>
        </is>
      </c>
      <c r="T66" s="42">
        <f>I66</f>
        <v/>
      </c>
      <c r="U66" s="43">
        <f>T66*N(F66)</f>
        <v/>
      </c>
      <c r="V66" s="43">
        <f>U66-J66</f>
        <v/>
      </c>
      <c r="W66" s="44" t="inlineStr">
        <is>
          <t>Pendiente</t>
        </is>
      </c>
    </row>
    <row r="67" ht="42" customHeight="1">
      <c r="A67" s="4" t="inlineStr">
        <is>
          <t>IN14.8</t>
        </is>
      </c>
      <c r="B67" s="4" t="inlineStr">
        <is>
          <t>IN14</t>
        </is>
      </c>
      <c r="C67" s="4" t="inlineStr">
        <is>
          <t>Acometida B.T. Tablero Camerinos - Administración (2X#8 Al S8000 THWN-2 LSHF)(F)+(#8 Al S8000 THWN-2 LSHF)(N)+(#8 Al S8000 THWN-2 LSHF)(T).</t>
        </is>
      </c>
      <c r="D67" s="4" t="inlineStr">
        <is>
          <t>M</t>
        </is>
      </c>
      <c r="E67" s="39" t="n"/>
      <c r="F67" s="40" t="n">
        <v>115242</v>
      </c>
      <c r="G67" s="40" t="n"/>
      <c r="H67" s="4" t="n"/>
      <c r="I67" s="48" t="n">
        <v>4.8</v>
      </c>
      <c r="J67" s="40">
        <f>I67*N(F67)</f>
        <v/>
      </c>
      <c r="K67" s="41">
        <f>Balance_Cantidades!H18</f>
        <v/>
      </c>
      <c r="L67" s="39">
        <f>I67-K67</f>
        <v/>
      </c>
      <c r="M67" s="40">
        <f>MAX(0,L67)*N(F67)</f>
        <v/>
      </c>
      <c r="N67" s="40">
        <f>MAX(0,-L67)*N(F67)</f>
        <v/>
      </c>
      <c r="O67" s="4" t="inlineStr">
        <is>
          <t>Discrepa</t>
        </is>
      </c>
      <c r="P67" s="4" t="inlineStr">
        <is>
          <t>Unifilar / cálculo</t>
        </is>
      </c>
      <c r="Q67" s="4" t="inlineStr">
        <is>
          <t>Acta: Al. Unifilar: Cu. Longitud 4,8 m frente a 8 m del cálculo. CAMBIAR A CALIBRE 6, CALIBRE 8 ES MUY FRAGIL. REVISAR APU</t>
        </is>
      </c>
      <c r="R67" s="4" t="inlineStr">
        <is>
          <t>Unificar material y longitud.</t>
        </is>
      </c>
      <c r="S67" s="4" t="inlineStr">
        <is>
          <t>OBS-046, OBS-038</t>
        </is>
      </c>
      <c r="T67" s="42">
        <f>I67</f>
        <v/>
      </c>
      <c r="U67" s="43">
        <f>T67*N(F67)</f>
        <v/>
      </c>
      <c r="V67" s="43">
        <f>U67-J67</f>
        <v/>
      </c>
      <c r="W67" s="44" t="inlineStr">
        <is>
          <t>Pendiente</t>
        </is>
      </c>
    </row>
    <row r="68" ht="42" customHeight="1">
      <c r="A68" s="4" t="inlineStr">
        <is>
          <t>IN14.9</t>
        </is>
      </c>
      <c r="B68" s="4" t="inlineStr">
        <is>
          <t>IN14</t>
        </is>
      </c>
      <c r="C68" s="4" t="inlineStr">
        <is>
          <t>Acometida B.T. Tablero Garita (2X#6 Al S8000 THWN-2 LSHF)(F)+(#6 Al S8000 THWN-2 LSHF)(N)+(#6 Al S8000 THWN-2 LSHF)(T).</t>
        </is>
      </c>
      <c r="D68" s="4" t="inlineStr">
        <is>
          <t>M</t>
        </is>
      </c>
      <c r="E68" s="39" t="n"/>
      <c r="F68" s="40" t="n">
        <v>134966</v>
      </c>
      <c r="G68" s="40" t="n"/>
      <c r="H68" s="4" t="n"/>
      <c r="I68" s="39" t="n">
        <v>64.8</v>
      </c>
      <c r="J68" s="40">
        <f>I68*N(F68)</f>
        <v/>
      </c>
      <c r="K68" s="41">
        <f>Balance_Cantidades!H17</f>
        <v/>
      </c>
      <c r="L68" s="39">
        <f>I68-K68</f>
        <v/>
      </c>
      <c r="M68" s="40">
        <f>MAX(0,L68)*N(F68)</f>
        <v/>
      </c>
      <c r="N68" s="40">
        <f>MAX(0,-L68)*N(F68)</f>
        <v/>
      </c>
      <c r="O68" s="4" t="inlineStr">
        <is>
          <t>Discrepa</t>
        </is>
      </c>
      <c r="P68" s="4" t="inlineStr">
        <is>
          <t>Cálculo</t>
        </is>
      </c>
      <c r="Q68" s="4" t="inlineStr">
        <is>
          <t>Longitud 64,8 m frente a 58 m del cálculo. Ducto ø1" en unifilar y ø1¼" en ductería.</t>
        </is>
      </c>
      <c r="R68" s="4" t="inlineStr">
        <is>
          <t>Conciliar.</t>
        </is>
      </c>
      <c r="S68" s="4" t="inlineStr">
        <is>
          <t>OBS-047, OBS-038</t>
        </is>
      </c>
      <c r="T68" s="42">
        <f>I68</f>
        <v/>
      </c>
      <c r="U68" s="43">
        <f>T68*N(F68)</f>
        <v/>
      </c>
      <c r="V68" s="43">
        <f>U68-J68</f>
        <v/>
      </c>
      <c r="W68" s="44" t="inlineStr">
        <is>
          <t>Pendiente</t>
        </is>
      </c>
    </row>
    <row r="69" ht="28" customHeight="1">
      <c r="A69" s="4" t="inlineStr">
        <is>
          <t>IN14.10</t>
        </is>
      </c>
      <c r="B69" s="4" t="inlineStr">
        <is>
          <t>IN14</t>
        </is>
      </c>
      <c r="C69" s="4" t="inlineStr">
        <is>
          <t>Alimentador Mastiles Cancha Multiple y futbol 6 (2X#6 Al S8000 THWN-2 LSHF)(F)+(#6 Al S8000 THWN-2 LSHF)(T).</t>
        </is>
      </c>
      <c r="D69" s="4" t="inlineStr">
        <is>
          <t>M</t>
        </is>
      </c>
      <c r="E69" s="39" t="n"/>
      <c r="F69" s="40" t="n">
        <v>117358</v>
      </c>
      <c r="G69" s="40" t="n"/>
      <c r="H69" s="4" t="n"/>
      <c r="I69" s="39" t="n">
        <v>486.8</v>
      </c>
      <c r="J69" s="40">
        <f>I69*N(F69)</f>
        <v/>
      </c>
      <c r="K69" s="41">
        <f>Balance_Cantidades!H15</f>
        <v/>
      </c>
      <c r="L69" s="39">
        <f>I69-K69</f>
        <v/>
      </c>
      <c r="M69" s="40">
        <f>MAX(0,L69)*N(F69)</f>
        <v/>
      </c>
      <c r="N69" s="40">
        <f>MAX(0,-L69)*N(F69)</f>
        <v/>
      </c>
      <c r="O69" s="4" t="inlineStr">
        <is>
          <t>Discrepa</t>
        </is>
      </c>
      <c r="P69" s="4" t="inlineStr">
        <is>
          <t>Cálculo / DXF</t>
        </is>
      </c>
      <c r="Q69" s="4" t="inlineStr">
        <is>
          <t>Acta 486,8 m. Cálculo 408 m (DXF ≈ 196 m, incompleto). Unifilar solo 2 circuitos de cancha.</t>
        </is>
      </c>
      <c r="R69" s="4" t="inlineStr">
        <is>
          <t>Plano de recorridos.</t>
        </is>
      </c>
      <c r="S69" s="4" t="inlineStr">
        <is>
          <t>OBS-037, OBS-032</t>
        </is>
      </c>
      <c r="T69" s="42">
        <f>I69</f>
        <v/>
      </c>
      <c r="U69" s="43">
        <f>T69*N(F69)</f>
        <v/>
      </c>
      <c r="V69" s="43">
        <f>U69-J69</f>
        <v/>
      </c>
      <c r="W69" s="44" t="inlineStr">
        <is>
          <t>Pendiente</t>
        </is>
      </c>
    </row>
    <row r="70" ht="42" customHeight="1">
      <c r="A70" s="4" t="inlineStr">
        <is>
          <t>IN14.11</t>
        </is>
      </c>
      <c r="B70" s="4" t="inlineStr">
        <is>
          <t>IN14</t>
        </is>
      </c>
      <c r="C70" s="4" t="inlineStr">
        <is>
          <t>Alimentador Mastiles Cancha Futbol 9 (2X#4 Al S8000 THWN-2 LSHF)(F)+(#4 Al S8000 THWN-2 LSHF)(T).</t>
        </is>
      </c>
      <c r="D70" s="4" t="inlineStr">
        <is>
          <t>M</t>
        </is>
      </c>
      <c r="E70" s="39" t="n"/>
      <c r="F70" s="40" t="n">
        <v>141382</v>
      </c>
      <c r="G70" s="40" t="n"/>
      <c r="H70" s="4" t="n"/>
      <c r="I70" s="39" t="n">
        <v>817.2</v>
      </c>
      <c r="J70" s="40">
        <f>I70*N(F70)</f>
        <v/>
      </c>
      <c r="K70" s="41">
        <f>Balance_Cantidades!H14</f>
        <v/>
      </c>
      <c r="L70" s="39">
        <f>I70-K70</f>
        <v/>
      </c>
      <c r="M70" s="40">
        <f>MAX(0,L70)*N(F70)</f>
        <v/>
      </c>
      <c r="N70" s="40">
        <f>MAX(0,-L70)*N(F70)</f>
        <v/>
      </c>
      <c r="O70" s="4" t="inlineStr">
        <is>
          <t>Discrepa</t>
        </is>
      </c>
      <c r="P70" s="4" t="inlineStr">
        <is>
          <t>Cálculo / DXF</t>
        </is>
      </c>
      <c r="Q70" s="4" t="inlineStr">
        <is>
          <t>Acta 817,2 m. Cálculo 673 m; DXF ≈ 576 m. REVISAR CANTIDADES EN SITIO. Calibre #4 Al: Mástiles 1 y 2 superan 3 % con aluminio. MASTILES 1 Y 2 NO CUMPLEN CON REGULACION</t>
        </is>
      </c>
      <c r="R70" s="4" t="inlineStr">
        <is>
          <t>Verificar en sitio y recalcular calibres.</t>
        </is>
      </c>
      <c r="S70" s="4" t="inlineStr">
        <is>
          <t>OBS-036, OBS-028, OBS-029</t>
        </is>
      </c>
      <c r="T70" s="42">
        <f>I70</f>
        <v/>
      </c>
      <c r="U70" s="43">
        <f>T70*N(F70)</f>
        <v/>
      </c>
      <c r="V70" s="43">
        <f>U70-J70</f>
        <v/>
      </c>
      <c r="W70" s="44" t="inlineStr">
        <is>
          <t>Pendiente</t>
        </is>
      </c>
    </row>
    <row r="71" ht="28" customHeight="1">
      <c r="A71" s="4" t="inlineStr">
        <is>
          <t>IN14.12</t>
        </is>
      </c>
      <c r="B71" s="4" t="inlineStr">
        <is>
          <t>IN14</t>
        </is>
      </c>
      <c r="C71" s="4" t="inlineStr">
        <is>
          <t>Suministro y montaje de tablero bimetálico de 12 circuitos bifásico, barraje min 125A, marquillado RETIE.</t>
        </is>
      </c>
      <c r="D71" s="4" t="inlineStr">
        <is>
          <t>UND</t>
        </is>
      </c>
      <c r="E71" s="39" t="n"/>
      <c r="F71" s="40" t="n">
        <v>1422200</v>
      </c>
      <c r="G71" s="40" t="n"/>
      <c r="H71" s="4" t="n"/>
      <c r="I71" s="39" t="n">
        <v>1</v>
      </c>
      <c r="J71" s="40">
        <f>I71*N(F71)</f>
        <v/>
      </c>
      <c r="K71" s="41" t="n"/>
      <c r="L71" s="39" t="n"/>
      <c r="M71" s="40" t="n"/>
      <c r="N71" s="40" t="n"/>
      <c r="O71" s="4" t="inlineStr">
        <is>
          <t>Verificar</t>
        </is>
      </c>
      <c r="P71" s="4" t="inlineStr">
        <is>
          <t>DXF</t>
        </is>
      </c>
      <c r="Q71" s="4" t="inlineStr">
        <is>
          <t>Tablero de 12 circuitos sin unifilar ni cuadro de carga. El DXF muestra 4 tableros empotrables.</t>
        </is>
      </c>
      <c r="R71" s="4" t="inlineStr">
        <is>
          <t>Unifilares y cuadros de carga.</t>
        </is>
      </c>
      <c r="S71" s="4" t="inlineStr">
        <is>
          <t>OBS-006</t>
        </is>
      </c>
      <c r="T71" s="42">
        <f>I71</f>
        <v/>
      </c>
      <c r="U71" s="43">
        <f>T71*N(F71)</f>
        <v/>
      </c>
      <c r="V71" s="43">
        <f>U71-J71</f>
        <v/>
      </c>
      <c r="W71" s="44" t="inlineStr">
        <is>
          <t>Pendiente</t>
        </is>
      </c>
    </row>
    <row r="72" ht="28" customHeight="1">
      <c r="A72" s="4" t="inlineStr">
        <is>
          <t>IN14.13</t>
        </is>
      </c>
      <c r="B72" s="4" t="inlineStr">
        <is>
          <t>IN14</t>
        </is>
      </c>
      <c r="C72" s="4" t="inlineStr">
        <is>
          <t>Suministro y montaje de tablero bimetálico de 8 circuitos bifásico, barraje min 125A, marquillado RETIE.</t>
        </is>
      </c>
      <c r="D72" s="4" t="inlineStr">
        <is>
          <t>UND</t>
        </is>
      </c>
      <c r="E72" s="39" t="n"/>
      <c r="F72" s="40" t="n">
        <v>1145788</v>
      </c>
      <c r="G72" s="40" t="n"/>
      <c r="H72" s="4" t="n"/>
      <c r="I72" s="39" t="n">
        <v>1</v>
      </c>
      <c r="J72" s="40">
        <f>I72*N(F72)</f>
        <v/>
      </c>
      <c r="K72" s="41" t="n"/>
      <c r="L72" s="39" t="n"/>
      <c r="M72" s="40" t="n"/>
      <c r="N72" s="40" t="n"/>
      <c r="O72" s="4" t="inlineStr">
        <is>
          <t>Verificar</t>
        </is>
      </c>
      <c r="P72" s="4" t="inlineStr">
        <is>
          <t>DXF</t>
        </is>
      </c>
      <c r="Q72" s="4" t="inlineStr">
        <is>
          <t>Tablero de 8 circuitos sin unifilar ni cuadro de carga.</t>
        </is>
      </c>
      <c r="R72" s="4" t="inlineStr">
        <is>
          <t>Unifilares y cuadros de carga.</t>
        </is>
      </c>
      <c r="S72" s="4" t="inlineStr">
        <is>
          <t>OBS-006</t>
        </is>
      </c>
      <c r="T72" s="42">
        <f>I72</f>
        <v/>
      </c>
      <c r="U72" s="43">
        <f>T72*N(F72)</f>
        <v/>
      </c>
      <c r="V72" s="43">
        <f>U72-J72</f>
        <v/>
      </c>
      <c r="W72" s="44" t="inlineStr">
        <is>
          <t>Pendiente</t>
        </is>
      </c>
    </row>
    <row r="73" ht="28" customHeight="1">
      <c r="A73" s="4" t="inlineStr">
        <is>
          <t>IN14.14</t>
        </is>
      </c>
      <c r="B73" s="4" t="inlineStr">
        <is>
          <t>IN14</t>
        </is>
      </c>
      <c r="C73" s="4" t="inlineStr">
        <is>
          <t>Suministro e instalación de breaker enchufable 2x30A.</t>
        </is>
      </c>
      <c r="D73" s="4" t="inlineStr">
        <is>
          <t>UND</t>
        </is>
      </c>
      <c r="E73" s="39" t="n"/>
      <c r="F73" s="40" t="n">
        <v>200281</v>
      </c>
      <c r="G73" s="40" t="n"/>
      <c r="H73" s="4" t="n"/>
      <c r="I73" s="39" t="n">
        <v>2</v>
      </c>
      <c r="J73" s="40">
        <f>I73*N(F73)</f>
        <v/>
      </c>
      <c r="K73" s="41" t="n">
        <v>0</v>
      </c>
      <c r="L73" s="39">
        <f>I73-K73</f>
        <v/>
      </c>
      <c r="M73" s="40">
        <f>MAX(0,L73)*N(F73)</f>
        <v/>
      </c>
      <c r="N73" s="40">
        <f>MAX(0,-L73)*N(F73)</f>
        <v/>
      </c>
      <c r="O73" s="4" t="inlineStr">
        <is>
          <t>Verificar</t>
        </is>
      </c>
      <c r="P73" s="4" t="inlineStr">
        <is>
          <t>Unifilar</t>
        </is>
      </c>
      <c r="Q73" s="4" t="inlineStr">
        <is>
          <t>Breakers 2×30 A: posible doble cobro con el tablero general 4.22. Referencia 0 hasta ver el APU.</t>
        </is>
      </c>
      <c r="R73" s="4" t="inlineStr">
        <is>
          <t>Presentar APU de 4.22.</t>
        </is>
      </c>
      <c r="S73" s="4" t="inlineStr">
        <is>
          <t>OBS-049</t>
        </is>
      </c>
      <c r="T73" s="42">
        <f>I73</f>
        <v/>
      </c>
      <c r="U73" s="43">
        <f>T73*N(F73)</f>
        <v/>
      </c>
      <c r="V73" s="43">
        <f>U73-J73</f>
        <v/>
      </c>
      <c r="W73" s="44" t="inlineStr">
        <is>
          <t>Pendiente</t>
        </is>
      </c>
    </row>
    <row r="74">
      <c r="A74" s="4" t="inlineStr">
        <is>
          <t>IN14.15</t>
        </is>
      </c>
      <c r="B74" s="4" t="inlineStr">
        <is>
          <t>IN14</t>
        </is>
      </c>
      <c r="C74" s="4" t="inlineStr">
        <is>
          <t>Suministro e instalación de breaker enchufable 2x40A.</t>
        </is>
      </c>
      <c r="D74" s="4" t="inlineStr">
        <is>
          <t>UND</t>
        </is>
      </c>
      <c r="E74" s="39" t="n"/>
      <c r="F74" s="40" t="n">
        <v>215638</v>
      </c>
      <c r="G74" s="40" t="n"/>
      <c r="H74" s="4" t="n"/>
      <c r="I74" s="39" t="n">
        <v>1</v>
      </c>
      <c r="J74" s="40">
        <f>I74*N(F74)</f>
        <v/>
      </c>
      <c r="K74" s="41" t="n">
        <v>0</v>
      </c>
      <c r="L74" s="39">
        <f>I74-K74</f>
        <v/>
      </c>
      <c r="M74" s="40">
        <f>MAX(0,L74)*N(F74)</f>
        <v/>
      </c>
      <c r="N74" s="40">
        <f>MAX(0,-L74)*N(F74)</f>
        <v/>
      </c>
      <c r="O74" s="4" t="inlineStr">
        <is>
          <t>Verificar</t>
        </is>
      </c>
      <c r="P74" s="4" t="inlineStr">
        <is>
          <t>Unifilar</t>
        </is>
      </c>
      <c r="Q74" s="4" t="inlineStr">
        <is>
          <t>Breaker 2×40 A (camerinos): posible doble cobro con 4.22.</t>
        </is>
      </c>
      <c r="R74" s="4" t="inlineStr">
        <is>
          <t>Presentar APU de 4.22.</t>
        </is>
      </c>
      <c r="S74" s="4" t="inlineStr">
        <is>
          <t>OBS-049</t>
        </is>
      </c>
      <c r="T74" s="42">
        <f>I74</f>
        <v/>
      </c>
      <c r="U74" s="43">
        <f>T74*N(F74)</f>
        <v/>
      </c>
      <c r="V74" s="43">
        <f>U74-J74</f>
        <v/>
      </c>
      <c r="W74" s="44" t="inlineStr">
        <is>
          <t>Pendiente</t>
        </is>
      </c>
    </row>
    <row r="75" ht="98" customHeight="1">
      <c r="A75" s="4" t="inlineStr">
        <is>
          <t>IN14.16</t>
        </is>
      </c>
      <c r="B75" s="4" t="inlineStr">
        <is>
          <t>IN14</t>
        </is>
      </c>
      <c r="C75" s="4" t="inlineStr">
        <is>
          <t>Suministro e instalación de sistema de puesta a tierra (SPT) según diseño: malla de 5,00 m x 5,00 m subdividida en cuadros de 2,50 m x 2,50 m, en cable de cobre desnudo No. 2/0 AWG, con uniones en soldadura exotérmica, varillas de cobre de 5/8" x 2,44 m y caja de inspección. Incluye excavación, relleno, medición de resistencia de puesta a tierra y todos los elementos necesarios para su correcta instalación.</t>
        </is>
      </c>
      <c r="D75" s="4" t="inlineStr">
        <is>
          <t>GL</t>
        </is>
      </c>
      <c r="E75" s="39" t="n"/>
      <c r="F75" s="40" t="n">
        <v>14680000</v>
      </c>
      <c r="G75" s="40" t="n"/>
      <c r="H75" s="4" t="n"/>
      <c r="I75" s="39" t="n">
        <v>1</v>
      </c>
      <c r="J75" s="40">
        <f>I75*N(F75)</f>
        <v/>
      </c>
      <c r="K75" s="41" t="n"/>
      <c r="L75" s="39" t="n"/>
      <c r="M75" s="40" t="n"/>
      <c r="N75" s="40" t="n"/>
      <c r="O75" s="4" t="inlineStr">
        <is>
          <t>Concuerda</t>
        </is>
      </c>
      <c r="P75" s="4" t="inlineStr">
        <is>
          <t>Unifilar</t>
        </is>
      </c>
      <c r="Q75" s="4" t="inlineStr">
        <is>
          <t>Reemplaza 4.28. Incluye medición de resistencia. No se entregó estudio de resistividad ni memoria de la malla. EXPLICAR POR QUE EL CAMBIO DE LA MALLA CON LA ANTERIOR, PRESENTAR DISEÑO DE LA MALLA CON ESTUDIOS DE RESISTIVIDAD DEL TERRENO</t>
        </is>
      </c>
      <c r="R75" s="4" t="inlineStr">
        <is>
          <t>Entregar estudio de resistividad y memoria.</t>
        </is>
      </c>
      <c r="S75" s="4" t="inlineStr">
        <is>
          <t>OBS-053</t>
        </is>
      </c>
      <c r="T75" s="42">
        <f>I75</f>
        <v/>
      </c>
      <c r="U75" s="43">
        <f>T75*N(F75)</f>
        <v/>
      </c>
      <c r="V75" s="43">
        <f>U75-J75</f>
        <v/>
      </c>
      <c r="W75" s="44" t="inlineStr">
        <is>
          <t>Validada</t>
        </is>
      </c>
    </row>
    <row r="76" ht="28" customHeight="1">
      <c r="A76" s="4" t="inlineStr">
        <is>
          <t>IN14.17</t>
        </is>
      </c>
      <c r="B76" s="4" t="inlineStr">
        <is>
          <t>IN14</t>
        </is>
      </c>
      <c r="C76" s="4" t="inlineStr">
        <is>
          <t>Salida para interruptor DOBLE en tubería PVC SCH40/EMT 1/2", cable No.12 LSHF, incluye accesorios.</t>
        </is>
      </c>
      <c r="D76" s="4" t="inlineStr">
        <is>
          <t>UND</t>
        </is>
      </c>
      <c r="E76" s="39" t="n"/>
      <c r="F76" s="40" t="n">
        <v>381056</v>
      </c>
      <c r="G76" s="40" t="n"/>
      <c r="H76" s="4" t="n"/>
      <c r="I76" s="39" t="n">
        <v>3</v>
      </c>
      <c r="J76" s="40">
        <f>I76*N(F76)</f>
        <v/>
      </c>
      <c r="K76" s="41" t="n">
        <v>3</v>
      </c>
      <c r="L76" s="39">
        <f>I76-K76</f>
        <v/>
      </c>
      <c r="M76" s="40">
        <f>MAX(0,L76)*N(F76)</f>
        <v/>
      </c>
      <c r="N76" s="40">
        <f>MAX(0,-L76)*N(F76)</f>
        <v/>
      </c>
      <c r="O76" s="4" t="inlineStr">
        <is>
          <t>Concuerda</t>
        </is>
      </c>
      <c r="P76" s="4" t="inlineStr">
        <is>
          <t>DXF</t>
        </is>
      </c>
      <c r="Q76" s="4" t="inlineStr">
        <is>
          <t>DXF: 3 interruptores dobles.</t>
        </is>
      </c>
      <c r="R76" s="4" t="inlineStr">
        <is>
          <t>—</t>
        </is>
      </c>
      <c r="S76" s="4" t="inlineStr">
        <is>
          <t>OBS-059</t>
        </is>
      </c>
      <c r="T76" s="42">
        <f>I76</f>
        <v/>
      </c>
      <c r="U76" s="43">
        <f>T76*N(F76)</f>
        <v/>
      </c>
      <c r="V76" s="43">
        <f>U76-J76</f>
        <v/>
      </c>
      <c r="W76" s="44" t="inlineStr">
        <is>
          <t>Validada</t>
        </is>
      </c>
    </row>
    <row r="77" ht="42" customHeight="1">
      <c r="A77" s="4" t="inlineStr">
        <is>
          <t>IN16.18</t>
        </is>
      </c>
      <c r="B77" s="4" t="inlineStr">
        <is>
          <t>IN14</t>
        </is>
      </c>
      <c r="C77" s="4" t="inlineStr">
        <is>
          <t>Suministro e instalacion de Proyectores LED de 820W, 5.700°K, 110.700lm</t>
        </is>
      </c>
      <c r="D77" s="4" t="inlineStr">
        <is>
          <t>UND</t>
        </is>
      </c>
      <c r="E77" s="39" t="n"/>
      <c r="F77" s="40" t="n">
        <v>10501556</v>
      </c>
      <c r="G77" s="40" t="n"/>
      <c r="H77" s="4" t="n"/>
      <c r="I77" s="39" t="n">
        <v>32</v>
      </c>
      <c r="J77" s="40">
        <f>I77*N(F77)</f>
        <v/>
      </c>
      <c r="K77" s="41">
        <f>Balance_Cantidades!H5</f>
        <v/>
      </c>
      <c r="L77" s="39">
        <f>I77-K77</f>
        <v/>
      </c>
      <c r="M77" s="40">
        <f>MAX(0,L77)*N(F77)</f>
        <v/>
      </c>
      <c r="N77" s="40">
        <f>MAX(0,-L77)*N(F77)</f>
        <v/>
      </c>
      <c r="O77" s="4" t="inlineStr">
        <is>
          <t>Discrepa</t>
        </is>
      </c>
      <c r="P77" s="4" t="inlineStr">
        <is>
          <t>Planos / cálculo</t>
        </is>
      </c>
      <c r="Q77" s="4" t="inlineStr">
        <is>
          <t>Cantidad coincide, pero el diseño es de 480 W y se cobra 820 W. ESTA POTENCIA NO APARECE EN LOS DISEÑOS DE ILUMINACION, POR QUE NO SE UTILIZARON LOS DEL CONTRATO?</t>
        </is>
      </c>
      <c r="R77" s="4" t="inlineStr">
        <is>
          <t>Aclarar referencia y valor.</t>
        </is>
      </c>
      <c r="S77" s="4" t="inlineStr">
        <is>
          <t>OBS-007, OBS-008</t>
        </is>
      </c>
      <c r="T77" s="42">
        <f>I77</f>
        <v/>
      </c>
      <c r="U77" s="43">
        <f>T77*N(F77)</f>
        <v/>
      </c>
      <c r="V77" s="43">
        <f>U77-J77</f>
        <v/>
      </c>
      <c r="W77" s="44" t="inlineStr">
        <is>
          <t>Pendiente</t>
        </is>
      </c>
    </row>
    <row r="78" ht="42" customHeight="1">
      <c r="A78" s="4" t="inlineStr">
        <is>
          <t>IN16.19</t>
        </is>
      </c>
      <c r="B78" s="4" t="inlineStr">
        <is>
          <t>IN14</t>
        </is>
      </c>
      <c r="C78" s="4" t="inlineStr">
        <is>
          <t>Suministro e instalacion de Proyectores LED de 450W, 5.700°K</t>
        </is>
      </c>
      <c r="D78" s="4" t="inlineStr">
        <is>
          <t>UND</t>
        </is>
      </c>
      <c r="E78" s="39" t="n"/>
      <c r="F78" s="40" t="n">
        <v>6001021</v>
      </c>
      <c r="G78" s="40" t="n"/>
      <c r="H78" s="4" t="n"/>
      <c r="I78" s="39" t="n">
        <v>46</v>
      </c>
      <c r="J78" s="40">
        <f>I78*N(F78)</f>
        <v/>
      </c>
      <c r="K78" s="41">
        <f>Balance_Cantidades!H6</f>
        <v/>
      </c>
      <c r="L78" s="39">
        <f>I78-K78</f>
        <v/>
      </c>
      <c r="M78" s="40">
        <f>MAX(0,L78)*N(F78)</f>
        <v/>
      </c>
      <c r="N78" s="40">
        <f>MAX(0,-L78)*N(F78)</f>
        <v/>
      </c>
      <c r="O78" s="4" t="inlineStr">
        <is>
          <t>Sin respaldo</t>
        </is>
      </c>
      <c r="P78" s="4" t="inlineStr">
        <is>
          <t>Planos / informe</t>
        </is>
      </c>
      <c r="Q78" s="4" t="inlineStr">
        <is>
          <t>Plano e informe: 6 × 160 W. Ningún documento muestra 450 W. ESTA POTENCIA NO CONCUERDA CON LOS DISEÑOS, LA CANTIDAD EXCEDE A LOS PROPUESTOS EN DISEÑO</t>
        </is>
      </c>
      <c r="R78" s="4" t="inlineStr">
        <is>
          <t>Diseño que lo respalde o retiro del excedente.</t>
        </is>
      </c>
      <c r="S78" s="4" t="inlineStr">
        <is>
          <t>OBS-011, OBS-013</t>
        </is>
      </c>
      <c r="T78" s="42" t="n">
        <v>6</v>
      </c>
      <c r="U78" s="43">
        <f>T78*N(F78)</f>
        <v/>
      </c>
      <c r="V78" s="43">
        <f>U78-J78</f>
        <v/>
      </c>
      <c r="W78" s="44" t="inlineStr">
        <is>
          <t>Validada</t>
        </is>
      </c>
    </row>
    <row r="79" ht="28" customHeight="1">
      <c r="A79" s="4" t="inlineStr">
        <is>
          <t>S/C</t>
        </is>
      </c>
      <c r="B79" s="4" t="inlineStr">
        <is>
          <t>IN14</t>
        </is>
      </c>
      <c r="C79" s="4" t="inlineStr">
        <is>
          <t>Luces solares tipo 60w  10800 en aluminio y policarbonato, 50000 horas</t>
        </is>
      </c>
      <c r="D79" s="4" t="inlineStr">
        <is>
          <t>UMD</t>
        </is>
      </c>
      <c r="E79" s="39" t="n"/>
      <c r="F79" s="40" t="n">
        <v>3760000</v>
      </c>
      <c r="G79" s="40" t="n"/>
      <c r="H79" s="4" t="n"/>
      <c r="I79" s="39" t="n">
        <v>30</v>
      </c>
      <c r="J79" s="40">
        <f>I79*N(F79)</f>
        <v/>
      </c>
      <c r="K79" s="41">
        <f>Balance_Cantidades!H9</f>
        <v/>
      </c>
      <c r="L79" s="39">
        <f>I79-K79</f>
        <v/>
      </c>
      <c r="M79" s="40">
        <f>MAX(0,L79)*N(F79)</f>
        <v/>
      </c>
      <c r="N79" s="40">
        <f>MAX(0,-L79)*N(F79)</f>
        <v/>
      </c>
      <c r="O79" s="4" t="inlineStr">
        <is>
          <t>Sin respaldo</t>
        </is>
      </c>
      <c r="P79" s="4" t="inlineStr">
        <is>
          <t>Planos</t>
        </is>
      </c>
      <c r="Q79" s="4" t="inlineStr">
        <is>
          <t>No aparece en planos, DXF, cálculo ni unifilar. Sin código.</t>
        </is>
      </c>
      <c r="R79" s="4" t="inlineStr">
        <is>
          <t>Diseño y APU, o retiro.</t>
        </is>
      </c>
      <c r="S79" s="4" t="inlineStr">
        <is>
          <t>OBS-017</t>
        </is>
      </c>
      <c r="T79" s="42">
        <f>I79</f>
        <v/>
      </c>
      <c r="U79" s="43">
        <f>T79*N(F79)</f>
        <v/>
      </c>
      <c r="V79" s="43">
        <f>U79-J79</f>
        <v/>
      </c>
      <c r="W79" s="44" t="inlineStr">
        <is>
          <t>Pendiente</t>
        </is>
      </c>
    </row>
    <row r="80" ht="56" customHeight="1">
      <c r="A80" s="4" t="inlineStr">
        <is>
          <t>IN14.20</t>
        </is>
      </c>
      <c r="B80" s="4" t="inlineStr">
        <is>
          <t>IN14</t>
        </is>
      </c>
      <c r="C80" s="4" t="inlineStr">
        <is>
          <t>Suministro e Instalación de mástil de Iluminación altura 12 mts, capacidad de 4 reflectores, incluye transporte, línea de vida.</t>
        </is>
      </c>
      <c r="D80" s="4" t="inlineStr">
        <is>
          <t>UND</t>
        </is>
      </c>
      <c r="E80" s="39" t="n"/>
      <c r="F80" s="40" t="n">
        <v>26954265</v>
      </c>
      <c r="G80" s="40" t="n"/>
      <c r="H80" s="4" t="n"/>
      <c r="I80" s="48" t="n">
        <v>8</v>
      </c>
      <c r="J80" s="40">
        <f>I80*N(F80)</f>
        <v/>
      </c>
      <c r="K80" s="41">
        <f>Balance_Cantidades!H7</f>
        <v/>
      </c>
      <c r="L80" s="39">
        <f>I80-K80</f>
        <v/>
      </c>
      <c r="M80" s="40">
        <f>MAX(0,L80)*N(F80)</f>
        <v/>
      </c>
      <c r="N80" s="40">
        <f>MAX(0,-L80)*N(F80)</f>
        <v/>
      </c>
      <c r="O80" s="4" t="inlineStr">
        <is>
          <t>Discrepa</t>
        </is>
      </c>
      <c r="P80" s="4" t="inlineStr">
        <is>
          <t>Planos / cálculo</t>
        </is>
      </c>
      <c r="Q80" s="4" t="inlineStr">
        <is>
          <t>Balance 8; tabla 4; dibujados 2; cálculo 6; unifilar 2 circuitos. NO RECOMIENTO INSTALACION DE ESTOS MASTILES, CAMIAR A POSTES DE FIBRA 14 METROS CON CRUCETA METALICA CON LO QUE OBTENEMOS LA MISMA ALTURA Y AHORRAMOS RECURSOS</t>
        </is>
      </c>
      <c r="R80" s="4" t="inlineStr">
        <is>
          <t>Unificar número de postes.</t>
        </is>
      </c>
      <c r="S80" s="4" t="inlineStr">
        <is>
          <t>OBS-012, OBS-013</t>
        </is>
      </c>
      <c r="T80" s="42" t="n">
        <v>0</v>
      </c>
      <c r="U80" s="43">
        <f>T80*N(F80)</f>
        <v/>
      </c>
      <c r="V80" s="43">
        <f>U80-J80</f>
        <v/>
      </c>
      <c r="W80" s="44" t="inlineStr">
        <is>
          <t>Validada</t>
        </is>
      </c>
    </row>
    <row r="81" ht="28" customHeight="1">
      <c r="A81" s="4" t="inlineStr">
        <is>
          <t>IN14.21</t>
        </is>
      </c>
      <c r="B81" s="4" t="inlineStr">
        <is>
          <t>IN14</t>
        </is>
      </c>
      <c r="C81" s="4" t="inlineStr">
        <is>
          <t>Suministro e Instalación de mástil de Iluminación altura 22 mts, capacidad de 10 reflectores, incluye transporte, línea de vida.</t>
        </is>
      </c>
      <c r="D81" s="4" t="inlineStr">
        <is>
          <t>UND</t>
        </is>
      </c>
      <c r="E81" s="39" t="n"/>
      <c r="F81" s="40" t="n">
        <v>57610106.37681001</v>
      </c>
      <c r="G81" s="40" t="n"/>
      <c r="H81" s="4" t="n"/>
      <c r="I81" s="48" t="n">
        <v>4</v>
      </c>
      <c r="J81" s="40">
        <f>I81*N(F81)</f>
        <v/>
      </c>
      <c r="K81" s="41">
        <f>Balance_Cantidades!H8</f>
        <v/>
      </c>
      <c r="L81" s="39">
        <f>I81-K81</f>
        <v/>
      </c>
      <c r="M81" s="40">
        <f>MAX(0,L81)*N(F81)</f>
        <v/>
      </c>
      <c r="N81" s="40">
        <f>MAX(0,-L81)*N(F81)</f>
        <v/>
      </c>
      <c r="O81" s="4" t="inlineStr">
        <is>
          <t>Discrepa</t>
        </is>
      </c>
      <c r="P81" s="4" t="inlineStr">
        <is>
          <t>Planos</t>
        </is>
      </c>
      <c r="Q81" s="4" t="inlineStr">
        <is>
          <t>Cantidad coincide (4). Capacidad 10 frente a 8 del diseño, al precio de 4.47. ELIMINAR ESTE ITEM, SE DEJA EL DE ARRIBA</t>
        </is>
      </c>
      <c r="R81" s="4" t="inlineStr">
        <is>
          <t>No requiere crear este Item</t>
        </is>
      </c>
      <c r="S81" s="4" t="inlineStr">
        <is>
          <t>OBS-009, OBS-010</t>
        </is>
      </c>
      <c r="T81" s="42" t="n">
        <v>0</v>
      </c>
      <c r="U81" s="43">
        <f>T81*N(F81)</f>
        <v/>
      </c>
      <c r="V81" s="43">
        <f>U81-J81</f>
        <v/>
      </c>
      <c r="W81" s="44" t="inlineStr">
        <is>
          <t>Validada</t>
        </is>
      </c>
    </row>
    <row r="82" ht="28" customHeight="1">
      <c r="A82" s="4" t="inlineStr">
        <is>
          <t>S/C</t>
        </is>
      </c>
      <c r="B82" s="4" t="inlineStr">
        <is>
          <t>IN14</t>
        </is>
      </c>
      <c r="C82" s="4" t="inlineStr">
        <is>
          <t>Postes metalicos de 5mt de alto para con brazo sencillo, pintura enrriquesida con zing  para luminarias solares</t>
        </is>
      </c>
      <c r="D82" s="4" t="inlineStr">
        <is>
          <t>UND</t>
        </is>
      </c>
      <c r="E82" s="39" t="n"/>
      <c r="F82" s="40" t="n">
        <v>2672789</v>
      </c>
      <c r="G82" s="40" t="n"/>
      <c r="H82" s="4" t="n"/>
      <c r="I82" s="39" t="n">
        <v>30</v>
      </c>
      <c r="J82" s="40">
        <f>I82*N(F82)</f>
        <v/>
      </c>
      <c r="K82" s="41">
        <f>Balance_Cantidades!H9</f>
        <v/>
      </c>
      <c r="L82" s="39">
        <f>I82-K82</f>
        <v/>
      </c>
      <c r="M82" s="40">
        <f>MAX(0,L82)*N(F82)</f>
        <v/>
      </c>
      <c r="N82" s="40">
        <f>MAX(0,-L82)*N(F82)</f>
        <v/>
      </c>
      <c r="O82" s="4" t="inlineStr">
        <is>
          <t>Sin respaldo</t>
        </is>
      </c>
      <c r="P82" s="4" t="inlineStr">
        <is>
          <t>Planos</t>
        </is>
      </c>
      <c r="Q82" s="4" t="inlineStr">
        <is>
          <t xml:space="preserve">No aparece en planos, DXF, cálculo ni unifilar. Sin código. </t>
        </is>
      </c>
      <c r="R82" s="4" t="inlineStr">
        <is>
          <t>Diseño y APU, o retiro.</t>
        </is>
      </c>
      <c r="S82" s="4" t="inlineStr">
        <is>
          <t>OBS-017</t>
        </is>
      </c>
      <c r="T82" s="42">
        <f>I82</f>
        <v/>
      </c>
      <c r="U82" s="43">
        <f>T82*N(F82)</f>
        <v/>
      </c>
      <c r="V82" s="43">
        <f>U82-J82</f>
        <v/>
      </c>
      <c r="W82" s="44" t="inlineStr">
        <is>
          <t>Pendiente</t>
        </is>
      </c>
    </row>
    <row r="83" ht="28" customHeight="1">
      <c r="A83" s="4" t="inlineStr">
        <is>
          <t>IN14.22</t>
        </is>
      </c>
      <c r="B83" s="4" t="inlineStr">
        <is>
          <t>IN14</t>
        </is>
      </c>
      <c r="C83" s="4" t="inlineStr">
        <is>
          <t>Suministro e instalación de medida indirecta para operador de red niVEL 2.</t>
        </is>
      </c>
      <c r="D83" s="4" t="inlineStr">
        <is>
          <t>UND</t>
        </is>
      </c>
      <c r="E83" s="39" t="n"/>
      <c r="F83" s="40" t="n">
        <v>39946270</v>
      </c>
      <c r="G83" s="40" t="n"/>
      <c r="H83" s="4" t="n"/>
      <c r="I83" s="39" t="n">
        <v>1</v>
      </c>
      <c r="J83" s="40">
        <f>I83*N(F83)</f>
        <v/>
      </c>
      <c r="K83" s="41" t="n"/>
      <c r="L83" s="39" t="n"/>
      <c r="M83" s="40" t="n"/>
      <c r="N83" s="40" t="n"/>
      <c r="O83" s="4" t="inlineStr">
        <is>
          <t>Concuerda</t>
        </is>
      </c>
      <c r="P83" s="4" t="inlineStr">
        <is>
          <t>Unifilar</t>
        </is>
      </c>
      <c r="Q83" s="4" t="inlineStr">
        <is>
          <t>Medida indirecta con 2 TC y 2 TP coincide con el unifilar. REQUERIDA PARA EL PROYECTO. OK</t>
        </is>
      </c>
      <c r="R83" s="4" t="inlineStr">
        <is>
          <t>—</t>
        </is>
      </c>
      <c r="S83" s="4" t="inlineStr">
        <is>
          <t>OBS-051</t>
        </is>
      </c>
      <c r="T83" s="42">
        <f>I83</f>
        <v/>
      </c>
      <c r="U83" s="43">
        <f>T83*N(F83)</f>
        <v/>
      </c>
      <c r="V83" s="43">
        <f>U83-J83</f>
        <v/>
      </c>
      <c r="W83" s="44" t="inlineStr">
        <is>
          <t>Validada</t>
        </is>
      </c>
    </row>
    <row r="84">
      <c r="A84" s="21" t="n"/>
      <c r="B84" s="21" t="n"/>
      <c r="C84" s="3" t="inlineStr">
        <is>
          <t>Subtotal IN14</t>
        </is>
      </c>
      <c r="D84" s="21" t="n"/>
      <c r="E84" s="21" t="n"/>
      <c r="F84" s="21" t="n"/>
      <c r="G84" s="45">
        <f>SUM(G63:G83)</f>
        <v/>
      </c>
      <c r="H84" s="21" t="n"/>
      <c r="I84" s="21" t="n"/>
      <c r="J84" s="45">
        <f>SUM(J63:J83)</f>
        <v/>
      </c>
      <c r="K84" s="21" t="n"/>
      <c r="L84" s="21" t="n"/>
      <c r="M84" s="45">
        <f>SUM(M63:M83)</f>
        <v/>
      </c>
      <c r="N84" s="45">
        <f>SUM(N63:N83)</f>
        <v/>
      </c>
      <c r="O84" s="21" t="n"/>
      <c r="P84" s="21" t="n"/>
      <c r="Q84" s="21" t="n"/>
      <c r="R84" s="21" t="n"/>
      <c r="S84" s="21" t="n"/>
      <c r="T84" s="46" t="n"/>
      <c r="U84" s="47">
        <f>SUM(U63:U83)</f>
        <v/>
      </c>
      <c r="V84" s="47">
        <f>SUM(V63:V83)</f>
        <v/>
      </c>
      <c r="W84" s="46" t="n"/>
    </row>
    <row r="85">
      <c r="A85" s="16" t="inlineStr">
        <is>
          <t>OTROS ÍTEMS CON COMPONENTE ELÉCTRICO</t>
        </is>
      </c>
      <c r="B85" s="17" t="n"/>
      <c r="C85" s="17" t="n"/>
      <c r="D85" s="17" t="n"/>
      <c r="E85" s="17" t="n"/>
      <c r="F85" s="17" t="n"/>
      <c r="G85" s="17" t="n"/>
      <c r="H85" s="17" t="n"/>
      <c r="I85" s="17" t="n"/>
      <c r="J85" s="17" t="n"/>
      <c r="K85" s="17" t="n"/>
      <c r="L85" s="17" t="n"/>
      <c r="M85" s="17" t="n"/>
      <c r="N85" s="17" t="n"/>
      <c r="O85" s="17" t="n"/>
      <c r="P85" s="17" t="n"/>
      <c r="Q85" s="17" t="n"/>
      <c r="R85" s="17" t="n"/>
      <c r="S85" s="17" t="n"/>
    </row>
    <row r="86" ht="28" customHeight="1">
      <c r="A86" s="4" t="inlineStr">
        <is>
          <t>S/C</t>
        </is>
      </c>
      <c r="B86" s="4" t="inlineStr">
        <is>
          <t>Otros</t>
        </is>
      </c>
      <c r="C86" s="4" t="inlineStr">
        <is>
          <t>TRAMITES, ESTUDIOS, PERMISOS Y DESCARGO DE OPERADOR DE RED (1 %)</t>
        </is>
      </c>
      <c r="D86" s="4" t="inlineStr">
        <is>
          <t>GL</t>
        </is>
      </c>
      <c r="E86" s="39" t="n"/>
      <c r="F86" s="40" t="n">
        <v>102692139.2076618</v>
      </c>
      <c r="G86" s="40" t="n"/>
      <c r="H86" s="4" t="n"/>
      <c r="I86" s="39" t="n">
        <v>1</v>
      </c>
      <c r="J86" s="40">
        <f>I86*N(F86)</f>
        <v/>
      </c>
      <c r="K86" s="41" t="n"/>
      <c r="L86" s="39" t="n"/>
      <c r="M86" s="40" t="n"/>
      <c r="N86" s="40" t="n"/>
      <c r="O86" s="4" t="inlineStr">
        <is>
          <t>Verificar</t>
        </is>
      </c>
      <c r="P86" s="4" t="inlineStr">
        <is>
          <t>Unifilar</t>
        </is>
      </c>
      <c r="Q86" s="4" t="inlineStr">
        <is>
          <t>Trámites y descargo del operador ya remunerados (1 %). El punto de conexión sigue "PENDIENTE". ESTE ITEM ES CONTRACTUAL</t>
        </is>
      </c>
      <c r="R86" s="4" t="inlineStr">
        <is>
          <t>Exigir factibilidad.</t>
        </is>
      </c>
      <c r="S86" s="4" t="inlineStr">
        <is>
          <t>OBS-061</t>
        </is>
      </c>
      <c r="T86" s="42">
        <f>I86</f>
        <v/>
      </c>
      <c r="U86" s="43">
        <f>T86*N(F86)</f>
        <v/>
      </c>
      <c r="V86" s="43">
        <f>U86-J86</f>
        <v/>
      </c>
      <c r="W86" s="44" t="inlineStr">
        <is>
          <t>Validada</t>
        </is>
      </c>
    </row>
    <row r="87" ht="56" customHeight="1">
      <c r="A87" s="4" t="inlineStr">
        <is>
          <t>S/C</t>
        </is>
      </c>
      <c r="B87" s="4" t="inlineStr">
        <is>
          <t>Otros</t>
        </is>
      </c>
      <c r="C87" s="4" t="inlineStr">
        <is>
          <t>AJUSTE Y/O PROFUNDIZACION DE ESTUDIOS Y DISEÑOS (2 %)</t>
        </is>
      </c>
      <c r="D87" s="4" t="inlineStr">
        <is>
          <t>GL</t>
        </is>
      </c>
      <c r="E87" s="39" t="n"/>
      <c r="F87" s="40" t="n">
        <v>205384278.4153236</v>
      </c>
      <c r="G87" s="40" t="n"/>
      <c r="H87" s="4" t="n"/>
      <c r="I87" s="39" t="n">
        <v>1</v>
      </c>
      <c r="J87" s="40">
        <f>I87*N(F87)</f>
        <v/>
      </c>
      <c r="K87" s="41" t="n"/>
      <c r="L87" s="39" t="n"/>
      <c r="M87" s="40" t="n"/>
      <c r="N87" s="40" t="n"/>
      <c r="O87" s="4" t="inlineStr">
        <is>
          <t>Verificar</t>
        </is>
      </c>
      <c r="P87" s="4" t="inlineStr">
        <is>
          <t>Planos</t>
        </is>
      </c>
      <c r="Q87" s="4" t="inlineStr">
        <is>
          <t>Ajuste de estudios y diseños remunerado (2 %). El diseño eléctrico es comercial y sin firma: no procede cobro adicional por diseño. ESTE ITEM DEBE SER REVISADO. CREO QUE NO SE PUEDE COBRAR A MENOS QUE ESTE EN EL CONTRATO</t>
        </is>
      </c>
      <c r="R87" s="4" t="inlineStr">
        <is>
          <t>Exigir diseño firmado.</t>
        </is>
      </c>
      <c r="S87" s="4" t="inlineStr">
        <is>
          <t>OBS-061, OBS-001</t>
        </is>
      </c>
      <c r="T87" s="42">
        <f>I87</f>
        <v/>
      </c>
      <c r="U87" s="43">
        <f>T87*N(F87)</f>
        <v/>
      </c>
      <c r="V87" s="43">
        <f>U87-J87</f>
        <v/>
      </c>
      <c r="W87" s="44" t="inlineStr">
        <is>
          <t>Pendiente</t>
        </is>
      </c>
    </row>
    <row r="88" ht="28" customHeight="1">
      <c r="A88" s="4" t="inlineStr">
        <is>
          <t>S/C</t>
        </is>
      </c>
      <c r="B88" s="4" t="inlineStr">
        <is>
          <t>Otros</t>
        </is>
      </c>
      <c r="C88" s="4" t="inlineStr">
        <is>
          <t>INSTALACIONES ELECTRICAS (INTERNAS)</t>
        </is>
      </c>
      <c r="D88" s="4" t="inlineStr">
        <is>
          <t>UND</t>
        </is>
      </c>
      <c r="E88" s="39" t="n"/>
      <c r="F88" s="40" t="n">
        <v>8000000</v>
      </c>
      <c r="G88" s="40" t="n"/>
      <c r="H88" s="4" t="n"/>
      <c r="I88" s="48" t="n">
        <v>1</v>
      </c>
      <c r="J88" s="40">
        <f>I88*N(F88)</f>
        <v/>
      </c>
      <c r="K88" s="41" t="n"/>
      <c r="L88" s="39" t="n"/>
      <c r="M88" s="40" t="n"/>
      <c r="N88" s="40" t="n"/>
      <c r="O88" s="4" t="inlineStr">
        <is>
          <t>Verificar</t>
        </is>
      </c>
      <c r="P88" s="4" t="inlineStr">
        <is>
          <t>DXF</t>
        </is>
      </c>
      <c r="Q88" s="4" t="inlineStr">
        <is>
          <t>Global de $8,0 M: NO SE APRUEBA, YA TENEMOS ITEMS DE SALIDAS ELECTRICAS</t>
        </is>
      </c>
      <c r="R88" s="4" t="inlineStr">
        <is>
          <t>Alcance o retiro.</t>
        </is>
      </c>
      <c r="S88" s="4" t="inlineStr">
        <is>
          <t>OBS-062</t>
        </is>
      </c>
      <c r="T88" s="42" t="n">
        <v>0</v>
      </c>
      <c r="U88" s="43">
        <f>T88*N(F88)</f>
        <v/>
      </c>
      <c r="V88" s="43">
        <f>U88-J88</f>
        <v/>
      </c>
      <c r="W88" s="44" t="inlineStr">
        <is>
          <t>Validada</t>
        </is>
      </c>
    </row>
    <row r="89">
      <c r="A89" s="21" t="n"/>
      <c r="B89" s="21" t="n"/>
      <c r="C89" s="3" t="inlineStr">
        <is>
          <t>Subtotal otros</t>
        </is>
      </c>
      <c r="D89" s="21" t="n"/>
      <c r="E89" s="21" t="n"/>
      <c r="F89" s="21" t="n"/>
      <c r="G89" s="45">
        <f>SUM(G86:G88)</f>
        <v/>
      </c>
      <c r="H89" s="21" t="n"/>
      <c r="I89" s="21" t="n"/>
      <c r="J89" s="45">
        <f>SUM(J86:J88)</f>
        <v/>
      </c>
      <c r="K89" s="21" t="n"/>
      <c r="L89" s="21" t="n"/>
      <c r="M89" s="45">
        <f>SUM(M86:M88)</f>
        <v/>
      </c>
      <c r="N89" s="45">
        <f>SUM(N86:N88)</f>
        <v/>
      </c>
      <c r="O89" s="21" t="n"/>
      <c r="P89" s="21" t="n"/>
      <c r="Q89" s="21" t="n"/>
      <c r="R89" s="21" t="n"/>
      <c r="S89" s="21" t="n"/>
      <c r="T89" s="46" t="n"/>
      <c r="U89" s="47">
        <f>SUM(U86:U88)</f>
        <v/>
      </c>
      <c r="V89" s="47">
        <f>SUM(V86:V88)</f>
        <v/>
      </c>
      <c r="W89" s="46" t="n"/>
    </row>
    <row r="90">
      <c r="A90" s="16" t="inlineStr">
        <is>
          <t>ÍTEMS NECESARIOS QUE NO ESTÁN EN EL ACTA (a crear con APU)</t>
        </is>
      </c>
      <c r="B90" s="17" t="n"/>
      <c r="C90" s="17" t="n"/>
      <c r="D90" s="17" t="n"/>
      <c r="E90" s="17" t="n"/>
      <c r="F90" s="17" t="n"/>
      <c r="G90" s="17" t="n"/>
      <c r="H90" s="17" t="n"/>
      <c r="I90" s="17" t="n"/>
      <c r="J90" s="17" t="n"/>
      <c r="K90" s="17" t="n"/>
      <c r="L90" s="17" t="n"/>
      <c r="M90" s="17" t="n"/>
      <c r="N90" s="17" t="n"/>
      <c r="O90" s="17" t="n"/>
      <c r="P90" s="17" t="n"/>
      <c r="Q90" s="17" t="n"/>
      <c r="R90" s="17" t="n"/>
      <c r="S90" s="17" t="n"/>
    </row>
    <row r="91" ht="42" customHeight="1">
      <c r="A91" s="4" t="inlineStr">
        <is>
          <t>NUEVO-01</t>
        </is>
      </c>
      <c r="B91" s="4" t="inlineStr">
        <is>
          <t>Nuevo</t>
        </is>
      </c>
      <c r="C91" s="4" t="inlineStr">
        <is>
          <t>Suministro e instalación de transformador tipo poste 50 kVA, 13,2 kV – 240/120 V, con conexión y pruebas.</t>
        </is>
      </c>
      <c r="D91" s="4" t="inlineStr">
        <is>
          <t>UND</t>
        </is>
      </c>
      <c r="E91" s="39" t="n"/>
      <c r="F91" s="49" t="n">
        <v>27000000</v>
      </c>
      <c r="G91" s="40" t="n"/>
      <c r="H91" s="4" t="n"/>
      <c r="I91" s="39" t="n">
        <v>1</v>
      </c>
      <c r="J91" s="40">
        <f>I91*N(F91)</f>
        <v/>
      </c>
      <c r="K91" s="41" t="n">
        <v>1</v>
      </c>
      <c r="L91" s="39">
        <f>I91-K91</f>
        <v/>
      </c>
      <c r="M91" s="40" t="n"/>
      <c r="N91" s="40">
        <f>MAX(0,-L91)*N(F91)</f>
        <v/>
      </c>
      <c r="O91" s="4" t="inlineStr">
        <is>
          <t>Ítem faltante</t>
        </is>
      </c>
      <c r="P91" s="4" t="inlineStr">
        <is>
          <t>Unifilar</t>
        </is>
      </c>
      <c r="Q91" s="4" t="inlineStr">
        <is>
          <t>El 4.9 (100 kVA) se retiró y no hay reemplazo. Valor unitario = techo de referencia (precio del 100 kVA del 4.9); el de 50 kVA debe ser menor y requiere APU. Si lo suministra Afinia, cerrar el ítem.</t>
        </is>
      </c>
      <c r="R91" s="4" t="inlineStr">
        <is>
          <t>Crear el ítem con APU o certificar suministro por el operador.</t>
        </is>
      </c>
      <c r="S91" s="4" t="inlineStr">
        <is>
          <t>OBS-040</t>
        </is>
      </c>
      <c r="T91" s="42">
        <f>I91</f>
        <v/>
      </c>
      <c r="U91" s="43">
        <f>T91*N(F91)</f>
        <v/>
      </c>
      <c r="V91" s="43">
        <f>U91</f>
        <v/>
      </c>
      <c r="W91" s="44" t="inlineStr">
        <is>
          <t>Validada</t>
        </is>
      </c>
    </row>
    <row r="92" ht="28" customHeight="1">
      <c r="A92" s="4" t="inlineStr">
        <is>
          <t>NUEVO-02</t>
        </is>
      </c>
      <c r="B92" s="4" t="inlineStr">
        <is>
          <t>Nuevo</t>
        </is>
      </c>
      <c r="C92" s="4" t="inlineStr">
        <is>
          <t>Certificación de la instalación eléctrica (dictamen de inspección RETIE y dictamen RETILAP).</t>
        </is>
      </c>
      <c r="D92" s="4" t="inlineStr">
        <is>
          <t>GL</t>
        </is>
      </c>
      <c r="E92" s="39" t="n"/>
      <c r="F92" s="49" t="n"/>
      <c r="G92" s="40" t="n"/>
      <c r="H92" s="4" t="n"/>
      <c r="I92" s="39" t="n">
        <v>0</v>
      </c>
      <c r="J92" s="40">
        <f>I92*N(F92)</f>
        <v/>
      </c>
      <c r="K92" s="41" t="n">
        <v>1</v>
      </c>
      <c r="L92" s="39">
        <f>I92-K92</f>
        <v/>
      </c>
      <c r="M92" s="40" t="n"/>
      <c r="N92" s="40">
        <f>MAX(0,-L92)*N(F92)</f>
        <v/>
      </c>
      <c r="O92" s="4" t="inlineStr">
        <is>
          <t>Ítem faltante</t>
        </is>
      </c>
      <c r="P92" s="4" t="inlineStr">
        <is>
          <t>Contrato</t>
        </is>
      </c>
      <c r="Q92" s="4" t="inlineStr">
        <is>
          <t>Puede estar cubierta por trámites (1 %). Confirmar.</t>
        </is>
      </c>
      <c r="R92" s="4" t="inlineStr">
        <is>
          <t>Incluir o demostrar cobertura.</t>
        </is>
      </c>
      <c r="S92" s="4" t="inlineStr">
        <is>
          <t>OBS-063</t>
        </is>
      </c>
      <c r="T92" s="42" t="n">
        <v>1</v>
      </c>
      <c r="U92" s="43">
        <f>T92*N(F92)</f>
        <v/>
      </c>
      <c r="V92" s="43">
        <f>U92</f>
        <v/>
      </c>
      <c r="W92" s="44" t="inlineStr">
        <is>
          <t>Pendiente</t>
        </is>
      </c>
    </row>
    <row r="93">
      <c r="A93" s="4" t="inlineStr">
        <is>
          <t>NUEVO-03</t>
        </is>
      </c>
      <c r="B93" s="4" t="inlineStr">
        <is>
          <t>Nuevo</t>
        </is>
      </c>
      <c r="C93" s="4" t="inlineStr">
        <is>
          <t>Postes de fibra 14 metros.x 510kg</t>
        </is>
      </c>
      <c r="D93" s="4" t="inlineStr">
        <is>
          <t>GL</t>
        </is>
      </c>
      <c r="E93" s="39" t="n"/>
      <c r="F93" s="49" t="n">
        <v>6000000</v>
      </c>
      <c r="G93" s="40" t="n"/>
      <c r="H93" s="4" t="n"/>
      <c r="I93" s="39" t="n">
        <v>8</v>
      </c>
      <c r="J93" s="40">
        <f>I93*N(F93)</f>
        <v/>
      </c>
      <c r="K93" s="41" t="n">
        <v>1</v>
      </c>
      <c r="L93" s="39">
        <f>I93-K93</f>
        <v/>
      </c>
      <c r="M93" s="40" t="n"/>
      <c r="N93" s="40">
        <f>MAX(0,-L93)*N(F93)</f>
        <v/>
      </c>
      <c r="O93" s="4" t="inlineStr">
        <is>
          <t>Ítem faltante</t>
        </is>
      </c>
      <c r="P93" s="4" t="inlineStr">
        <is>
          <t>Contrato</t>
        </is>
      </c>
      <c r="Q93" s="4" t="inlineStr">
        <is>
          <t>Puede estar cubierta por trámites (1 %). Confirmar.</t>
        </is>
      </c>
      <c r="R93" s="4" t="inlineStr">
        <is>
          <t>Incluir o demostrar cobertura.</t>
        </is>
      </c>
      <c r="S93" s="4" t="inlineStr">
        <is>
          <t>OBS-063</t>
        </is>
      </c>
      <c r="T93" s="42">
        <f>I93</f>
        <v/>
      </c>
      <c r="U93" s="43">
        <f>T93*N(F93)</f>
        <v/>
      </c>
      <c r="V93" s="43">
        <f>U93</f>
        <v/>
      </c>
      <c r="W93" s="44" t="inlineStr">
        <is>
          <t>Validada</t>
        </is>
      </c>
    </row>
    <row r="94">
      <c r="A94" s="21" t="n"/>
      <c r="B94" s="21" t="n"/>
      <c r="C94" s="3" t="inlineStr">
        <is>
          <t>Subtotal ítems nuevos necesarios (valor referencial, sin APU)</t>
        </is>
      </c>
      <c r="D94" s="21" t="n"/>
      <c r="E94" s="21" t="n"/>
      <c r="F94" s="21" t="n"/>
      <c r="G94" s="45">
        <f>SUM(G91:G93)</f>
        <v/>
      </c>
      <c r="H94" s="21" t="n"/>
      <c r="I94" s="21" t="n"/>
      <c r="J94" s="45">
        <f>SUM(J91:J93)</f>
        <v/>
      </c>
      <c r="K94" s="21" t="n"/>
      <c r="L94" s="21" t="n"/>
      <c r="M94" s="45">
        <f>SUM(M91:M93)</f>
        <v/>
      </c>
      <c r="N94" s="45">
        <f>SUM(N91:N93)</f>
        <v/>
      </c>
      <c r="O94" s="21" t="n"/>
      <c r="P94" s="21" t="n"/>
      <c r="Q94" s="21" t="n"/>
      <c r="R94" s="21" t="n"/>
      <c r="S94" s="21" t="n"/>
      <c r="T94" s="46" t="n"/>
      <c r="U94" s="47">
        <f>SUM(U91:U93)</f>
        <v/>
      </c>
      <c r="V94" s="47">
        <f>SUM(V91:V93)</f>
        <v/>
      </c>
      <c r="W94" s="46" t="n"/>
    </row>
    <row r="95"/>
    <row r="96">
      <c r="C96" s="10" t="inlineStr">
        <is>
          <t>TOTAL ÍTEMS ELÉCTRICOS DEL ACTA (Cap. 1 + Cap. 4 + IN14, valor actualizado)</t>
        </is>
      </c>
      <c r="J96" s="50">
        <f>J7+J61+J84</f>
        <v/>
      </c>
    </row>
    <row r="97">
      <c r="C97" s="10" t="inlineStr">
        <is>
          <t>TOTAL VALOR NO SUSTENTADO</t>
        </is>
      </c>
      <c r="M97" s="50">
        <f>M7+M61+M84+M89</f>
        <v/>
      </c>
    </row>
    <row r="98">
      <c r="C98" s="10" t="inlineStr">
        <is>
          <t>TOTAL FALTANTE VALORIZADO (referencia)</t>
        </is>
      </c>
      <c r="N98" s="50">
        <f>N7+N61+N84+N89+N94</f>
        <v/>
      </c>
    </row>
    <row r="99"/>
    <row r="100">
      <c r="C100" s="13" t="inlineStr">
        <is>
          <t>Los valores en riesgo de 4.10, 4.11, 4.36 y 4.51–4.52 no están en "no sustentado" porque requieren verificación previa. El valor de NUEVO-01 y NUEVO-02 es referencial.</t>
        </is>
      </c>
    </row>
    <row r="102">
      <c r="C102" s="51" t="inlineStr">
        <is>
          <t>BALANCE AJUSTADO (cantidades validadas por el supervisor)</t>
        </is>
      </c>
    </row>
    <row r="103">
      <c r="C103" s="52" t="inlineStr">
        <is>
          <t>VALOR DEL ACTA – ítems eléctricos (Cap. 1 + Cap. 4 + IN14)</t>
        </is>
      </c>
      <c r="U103" s="47">
        <f>J7+J61+J84</f>
        <v/>
      </c>
    </row>
    <row r="104">
      <c r="C104" s="52" t="inlineStr">
        <is>
          <t>VALOR BALANCE AJUSTADO – ítems eléctricos (Cap. 1 + Cap. 4 + IN14)</t>
        </is>
      </c>
      <c r="U104" s="47">
        <f>U7+U61+U84</f>
        <v/>
      </c>
    </row>
    <row r="105">
      <c r="C105" s="52" t="inlineStr">
        <is>
          <t>Ítems nuevos necesarios (transformador, postes de fibra, certificación)</t>
        </is>
      </c>
      <c r="U105" s="47">
        <f>U94</f>
        <v/>
      </c>
    </row>
    <row r="106">
      <c r="C106" s="52" t="inlineStr">
        <is>
          <t>Otros ítems relacionados (trámites, ajuste de estudios, instalaciones internas)</t>
        </is>
      </c>
      <c r="U106" s="47">
        <f>U89</f>
        <v/>
      </c>
    </row>
    <row r="107">
      <c r="C107" s="52" t="inlineStr">
        <is>
          <t>TOTAL BALANCE AJUSTADO</t>
        </is>
      </c>
      <c r="U107" s="47">
        <f>U104+U105+U106</f>
        <v/>
      </c>
    </row>
    <row r="108">
      <c r="C108" s="52" t="inlineStr">
        <is>
          <t>Diferencia frente al acta (ajustado − acta)</t>
        </is>
      </c>
      <c r="U108" s="47">
        <f>U107-U103</f>
        <v/>
      </c>
    </row>
    <row r="109">
      <c r="C109" s="52" t="inlineStr">
        <is>
          <t>De este total, valor aún PENDIENTE de validar</t>
        </is>
      </c>
      <c r="U109" s="47">
        <f>SUMIF(W5:W100,"Pendiente",U5:U100)-U7*0</f>
        <v/>
      </c>
    </row>
    <row r="111">
      <c r="C111" s="53" t="inlineStr">
        <is>
          <t>Cantidad ajustada = decisión del supervisor (Validada) o cantidad del acta mientras no se valide (Pendiente). Celdas amarillas editables: al cambiar una cantidad, todos los totales se recalculan. Ítems retirados y los que concuerdan con los documentos se marcan Validada.</t>
        </is>
      </c>
    </row>
  </sheetData>
  <autoFilter ref="A4:W100"/>
  <conditionalFormatting sqref="O5:O95">
    <cfRule type="cellIs" priority="1" operator="equal" dxfId="1">
      <formula>"Concuerda"</formula>
    </cfRule>
    <cfRule type="cellIs" priority="2" operator="equal" dxfId="2">
      <formula>"Discrepa"</formula>
    </cfRule>
    <cfRule type="cellIs" priority="3" operator="equal" dxfId="9">
      <formula>"Sin respaldo"</formula>
    </cfRule>
    <cfRule type="cellIs" priority="4" operator="equal" dxfId="0">
      <formula>"Verificar"</formula>
    </cfRule>
    <cfRule type="cellIs" priority="5" operator="equal" dxfId="16">
      <formula>"Ítem faltante"</formula>
    </cfRule>
    <cfRule type="cellIs" priority="6" operator="equal" dxfId="15">
      <formula>"Retirado / reemplazado"</formula>
    </cfRule>
  </conditionalFormatting>
  <conditionalFormatting sqref="W5:W100">
    <cfRule type="cellIs" priority="7" operator="equal" dxfId="21">
      <formula>"Validada"</formula>
    </cfRule>
    <cfRule type="cellIs" priority="8" operator="equal" dxfId="22">
      <formula>"Pendiente"</formula>
    </cfRule>
  </conditionalFormatting>
  <dataValidations count="2">
    <dataValidation sqref="W5:W100" showDropDown="0" showInputMessage="0" showErrorMessage="0" allowBlank="1" type="list">
      <formula1>"Validada,Pendiente"</formula1>
    </dataValidation>
    <dataValidation sqref="O5:O100" showDropDown="0" showInputMessage="0" showErrorMessage="0" allowBlank="1" type="list">
      <formula1>=Listas!$F$2:$F$7</formula1>
    </dataValidation>
  </dataValidations>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L26"/>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12" customWidth="1" min="1" max="1"/>
    <col width="46" customWidth="1" min="2" max="2"/>
    <col width="7" customWidth="1" min="3" max="3"/>
    <col width="13" customWidth="1" min="4" max="7"/>
    <col width="14" customWidth="1" min="8" max="9"/>
    <col width="16" customWidth="1" min="10" max="10"/>
    <col width="18" customWidth="1" min="11" max="11"/>
    <col width="62" customWidth="1" min="12" max="12"/>
  </cols>
  <sheetData>
    <row r="1" ht="22" customHeight="1">
      <c r="D1" s="1" t="inlineStr">
        <is>
          <t>Balance de cantidades: Excel contratista vs. planos / cálculo / unifilar</t>
        </is>
      </c>
    </row>
    <row r="2" ht="22" customHeight="1">
      <c r="D2" s="2" t="inlineStr">
        <is>
          <t>Celdas amarillas = cantidad de referencia adoptada por la interventoría (editable). Valor no sustentado = exceso × valor unitario.</t>
        </is>
      </c>
    </row>
    <row r="4" ht="32" customHeight="1">
      <c r="A4" s="7" t="inlineStr">
        <is>
          <t>Ítem</t>
        </is>
      </c>
      <c r="B4" s="7" t="inlineStr">
        <is>
          <t>Descripción</t>
        </is>
      </c>
      <c r="C4" s="7" t="inlineStr">
        <is>
          <t>Und</t>
        </is>
      </c>
      <c r="D4" s="7" t="inlineStr">
        <is>
          <t>Cant. balance (Excel)</t>
        </is>
      </c>
      <c r="E4" s="7" t="inlineStr">
        <is>
          <t>Cant. planos / DXF</t>
        </is>
      </c>
      <c r="F4" s="7" t="inlineStr">
        <is>
          <t>Cant. cálculo regulación</t>
        </is>
      </c>
      <c r="G4" s="7" t="inlineStr">
        <is>
          <t>Cant. unifilar / informe</t>
        </is>
      </c>
      <c r="H4" s="7" t="inlineStr">
        <is>
          <t>Cant. referencia adoptada</t>
        </is>
      </c>
      <c r="I4" s="7" t="inlineStr">
        <is>
          <t>Diferencia (balance − ref.)</t>
        </is>
      </c>
      <c r="J4" s="7" t="inlineStr">
        <is>
          <t>Valor unitario (COP)</t>
        </is>
      </c>
      <c r="K4" s="7" t="inlineStr">
        <is>
          <t>Valor no sustentado (COP)</t>
        </is>
      </c>
      <c r="L4" s="7" t="inlineStr">
        <is>
          <t>Criterio de referencia / nota</t>
        </is>
      </c>
    </row>
    <row r="5" ht="28" customHeight="1">
      <c r="A5" s="4" t="inlineStr">
        <is>
          <t>IN16.18</t>
        </is>
      </c>
      <c r="B5" s="4" t="inlineStr">
        <is>
          <t>Proyectores LED 820 W (Fútbol 9)</t>
        </is>
      </c>
      <c r="C5" s="4" t="inlineStr">
        <is>
          <t>UND</t>
        </is>
      </c>
      <c r="D5" s="4" t="n">
        <v>32</v>
      </c>
      <c r="E5" s="4" t="n">
        <v>32</v>
      </c>
      <c r="F5" s="4" t="n">
        <v>32</v>
      </c>
      <c r="G5" s="4" t="n"/>
      <c r="H5" s="25" t="n">
        <v>32</v>
      </c>
      <c r="I5" s="39">
        <f>D5-H5</f>
        <v/>
      </c>
      <c r="J5" s="40" t="n">
        <v>10501556</v>
      </c>
      <c r="K5" s="40">
        <f>MAX(0,I5)*J5</f>
        <v/>
      </c>
      <c r="L5" s="4" t="inlineStr">
        <is>
          <t>Cantidad coincide (4 mástiles × 8). El plano/DXF/cálculo son de 480 W, no 820 W: sobreprecio por referencia aún sin cuantificar.</t>
        </is>
      </c>
    </row>
    <row r="6" ht="28" customHeight="1">
      <c r="A6" s="4" t="inlineStr">
        <is>
          <t>IN16.19</t>
        </is>
      </c>
      <c r="B6" s="4" t="inlineStr">
        <is>
          <t>Proyectores LED 450 W (Múltiple / Fútbol 6)</t>
        </is>
      </c>
      <c r="C6" s="4" t="inlineStr">
        <is>
          <t>UND</t>
        </is>
      </c>
      <c r="D6" s="4" t="n">
        <v>46</v>
      </c>
      <c r="E6" s="4" t="n">
        <v>6</v>
      </c>
      <c r="F6" s="4" t="n">
        <v>18</v>
      </c>
      <c r="G6" s="4" t="n"/>
      <c r="H6" s="25" t="n">
        <v>6</v>
      </c>
      <c r="I6" s="39">
        <f>D6-H6</f>
        <v/>
      </c>
      <c r="J6" s="40" t="n">
        <v>6001021</v>
      </c>
      <c r="K6" s="40">
        <f>MAX(0,I6)*J6</f>
        <v/>
      </c>
      <c r="L6" s="4" t="inlineStr">
        <is>
          <t>Plano e informe DIALux: 6 × 160 W. Cálculo: 6 postes × 3 × 160 W = 18. Ningún documento muestra 450 W. Referencia = plano.</t>
        </is>
      </c>
    </row>
    <row r="7" ht="70" customHeight="1">
      <c r="A7" s="4" t="inlineStr">
        <is>
          <t>IN14.20</t>
        </is>
      </c>
      <c r="B7" s="4" t="inlineStr">
        <is>
          <t>Mástil 12 m (4 reflectores)</t>
        </is>
      </c>
      <c r="C7" s="4" t="inlineStr">
        <is>
          <t>UND</t>
        </is>
      </c>
      <c r="D7" s="4" t="n">
        <v>8</v>
      </c>
      <c r="E7" s="4" t="n">
        <v>4</v>
      </c>
      <c r="F7" s="4" t="n">
        <v>6</v>
      </c>
      <c r="G7" s="4" t="n">
        <v>2</v>
      </c>
      <c r="H7" s="25" t="n">
        <v>4</v>
      </c>
      <c r="I7" s="39">
        <f>D7-H7</f>
        <v/>
      </c>
      <c r="J7" s="40" t="n">
        <v>26954265</v>
      </c>
      <c r="K7" s="40">
        <f>MAX(0,I7)*J7</f>
        <v/>
      </c>
      <c r="L7" s="4" t="inlineStr">
        <is>
          <t>Plano: tabla = 4, dibujados = 2. Cálculo = 6. Unifilar = 2 circuitos de cancha. Referencia = tabla del plano (ajustar si se adopta otro). Nota: si la interventoría mantiene 12 cajas de abonado (4 mástiles + 8 postes), implicaría 8 postes de 12 m: confirmar y, de aceptarse, cambiar la referencia a 8.</t>
        </is>
      </c>
    </row>
    <row r="8" ht="28" customHeight="1">
      <c r="A8" s="4" t="inlineStr">
        <is>
          <t>IN14.21</t>
        </is>
      </c>
      <c r="B8" s="4" t="inlineStr">
        <is>
          <t>Mástil 22 m (10 reflectores)</t>
        </is>
      </c>
      <c r="C8" s="4" t="inlineStr">
        <is>
          <t>UND</t>
        </is>
      </c>
      <c r="D8" s="4" t="n">
        <v>4</v>
      </c>
      <c r="E8" s="4" t="n">
        <v>4</v>
      </c>
      <c r="F8" s="4" t="n">
        <v>4</v>
      </c>
      <c r="G8" s="4" t="n">
        <v>4</v>
      </c>
      <c r="H8" s="25" t="n">
        <v>4</v>
      </c>
      <c r="I8" s="39">
        <f>D8-H8</f>
        <v/>
      </c>
      <c r="J8" s="40" t="n">
        <v>57610106.38</v>
      </c>
      <c r="K8" s="40">
        <f>MAX(0,I8)*J8</f>
        <v/>
      </c>
      <c r="L8" s="4" t="inlineStr">
        <is>
          <t>Cantidad coincide. Diseño = 8 proyectores por mástil; balance dice capacidad 10 al mismo precio del 4.47 (capacidad 8).</t>
        </is>
      </c>
    </row>
    <row r="9" ht="28" customHeight="1">
      <c r="A9" s="4" t="inlineStr">
        <is>
          <t>S/C</t>
        </is>
      </c>
      <c r="B9" s="4" t="inlineStr">
        <is>
          <t>Luminaria solar 60 W</t>
        </is>
      </c>
      <c r="C9" s="4" t="inlineStr">
        <is>
          <t>UND</t>
        </is>
      </c>
      <c r="D9" s="4" t="n">
        <v>30</v>
      </c>
      <c r="E9" s="4" t="n">
        <v>0</v>
      </c>
      <c r="F9" s="4" t="n">
        <v>0</v>
      </c>
      <c r="G9" s="4" t="n">
        <v>0</v>
      </c>
      <c r="H9" s="25" t="n">
        <v>0</v>
      </c>
      <c r="I9" s="39">
        <f>D9-H9</f>
        <v/>
      </c>
      <c r="J9" s="40" t="n">
        <v>3760000</v>
      </c>
      <c r="K9" s="40">
        <f>MAX(0,I9)*J9</f>
        <v/>
      </c>
      <c r="L9" s="4" t="inlineStr">
        <is>
          <t>No aparece en planos, DXF, cálculo ni unifilar. Sin código de ítem; unidad "UMD".</t>
        </is>
      </c>
    </row>
    <row r="10">
      <c r="A10" s="4" t="inlineStr">
        <is>
          <t>S/C</t>
        </is>
      </c>
      <c r="B10" s="4" t="inlineStr">
        <is>
          <t>Poste metálico 5 m para luminaria solar</t>
        </is>
      </c>
      <c r="C10" s="4" t="inlineStr">
        <is>
          <t>UND</t>
        </is>
      </c>
      <c r="D10" s="4" t="n">
        <v>30</v>
      </c>
      <c r="E10" s="4" t="n">
        <v>0</v>
      </c>
      <c r="F10" s="4" t="n">
        <v>0</v>
      </c>
      <c r="G10" s="4" t="n">
        <v>0</v>
      </c>
      <c r="H10" s="25" t="n">
        <v>0</v>
      </c>
      <c r="I10" s="39">
        <f>D10-H10</f>
        <v/>
      </c>
      <c r="J10" s="40" t="n">
        <v>2672789</v>
      </c>
      <c r="K10" s="40">
        <f>MAX(0,I10)*J10</f>
        <v/>
      </c>
      <c r="L10" s="4" t="inlineStr">
        <is>
          <t>Sin respaldo en planos. Sin código de ítem.</t>
        </is>
      </c>
    </row>
    <row r="11" ht="28" customHeight="1">
      <c r="A11" s="4" t="inlineStr">
        <is>
          <t>4.44</t>
        </is>
      </c>
      <c r="B11" s="4" t="inlineStr">
        <is>
          <t>Orientación de reflectores deportivos (total 32 + 46)</t>
        </is>
      </c>
      <c r="C11" s="4" t="inlineStr">
        <is>
          <t>UND</t>
        </is>
      </c>
      <c r="D11" s="4" t="n">
        <v>78</v>
      </c>
      <c r="E11" s="4" t="n">
        <v>38</v>
      </c>
      <c r="F11" s="4" t="n"/>
      <c r="G11" s="4" t="n"/>
      <c r="H11" s="25" t="n">
        <v>4</v>
      </c>
      <c r="I11" s="39">
        <f>D11-H11</f>
        <v/>
      </c>
      <c r="J11" s="40" t="n">
        <v>670209.62</v>
      </c>
      <c r="K11" s="40">
        <f>MAX(0,I11)*J11</f>
        <v/>
      </c>
      <c r="L11" s="4" t="inlineStr">
        <is>
          <t>Referencia = 32 (480 W) + 6 (160 W) = 38. DEBERIAN SOLO SER 4, PARA FUTBOL</t>
        </is>
      </c>
    </row>
    <row r="12">
      <c r="A12" s="4" t="inlineStr">
        <is>
          <t>4.29</t>
        </is>
      </c>
      <c r="B12" s="4" t="inlineStr">
        <is>
          <t>Apantallamiento de mástiles de iluminación</t>
        </is>
      </c>
      <c r="C12" s="4" t="inlineStr">
        <is>
          <t>UND</t>
        </is>
      </c>
      <c r="D12" s="4" t="n">
        <v>10</v>
      </c>
      <c r="E12" s="4" t="n">
        <v>8</v>
      </c>
      <c r="F12" s="4" t="n"/>
      <c r="G12" s="4" t="n"/>
      <c r="H12" s="25" t="n">
        <v>4</v>
      </c>
      <c r="I12" s="39">
        <f>D12-H12</f>
        <v/>
      </c>
      <c r="J12" s="40" t="n">
        <v>6908528.14</v>
      </c>
      <c r="K12" s="40">
        <f>MAX(0,I12)*J12</f>
        <v/>
      </c>
      <c r="L12" s="4" t="inlineStr">
        <is>
          <t>Postes: 4 (22 m) + 4 (12 m, tabla) = 8. Máximo justificable. SOLO SE REQUIEREN PARA LOS MASTILES DE FUTBOL 11/9, ES DECIR 4 UNIDADES</t>
        </is>
      </c>
    </row>
    <row r="13">
      <c r="A13" s="4" t="inlineStr">
        <is>
          <t>4.25</t>
        </is>
      </c>
      <c r="B13" s="4" t="inlineStr">
        <is>
          <t>Caja de abonado 8P para luminarias</t>
        </is>
      </c>
      <c r="C13" s="4" t="inlineStr">
        <is>
          <t>UND</t>
        </is>
      </c>
      <c r="D13" s="4" t="n">
        <v>10</v>
      </c>
      <c r="E13" s="4" t="n">
        <v>8</v>
      </c>
      <c r="F13" s="4" t="n"/>
      <c r="G13" s="4" t="n"/>
      <c r="H13" s="25" t="n">
        <v>12</v>
      </c>
      <c r="I13" s="39">
        <f>D13-H13</f>
        <v/>
      </c>
      <c r="J13" s="40" t="n">
        <v>1207695.12</v>
      </c>
      <c r="K13" s="40">
        <f>MAX(0,I13)*J13</f>
        <v/>
      </c>
      <c r="L13" s="4" t="inlineStr">
        <is>
          <t>Una por poste/mástil: 4 + 4. DEBERIAN SER  12</t>
        </is>
      </c>
    </row>
    <row r="14" ht="28" customHeight="1">
      <c r="A14" s="4" t="inlineStr">
        <is>
          <t>IN14.11</t>
        </is>
      </c>
      <c r="B14" s="4" t="inlineStr">
        <is>
          <t>Alimentador mástiles Fútbol 9 (2#4 Al + T)</t>
        </is>
      </c>
      <c r="C14" s="4" t="inlineStr">
        <is>
          <t>M</t>
        </is>
      </c>
      <c r="D14" s="4" t="n">
        <v>817.2</v>
      </c>
      <c r="E14" s="4" t="n">
        <v>576</v>
      </c>
      <c r="F14" s="4" t="n">
        <v>673</v>
      </c>
      <c r="G14" s="4" t="n"/>
      <c r="H14" s="25" t="n">
        <v>673</v>
      </c>
      <c r="I14" s="39">
        <f>D14-H14</f>
        <v/>
      </c>
      <c r="J14" s="40" t="n">
        <v>141382</v>
      </c>
      <c r="K14" s="40">
        <f>MAX(0,I14)*J14</f>
        <v/>
      </c>
      <c r="L14" s="4" t="inlineStr">
        <is>
          <t>Cálculo: 232+191+105+145 = 673 m (incluye 22 m de altura por mástil). DXF ≈ 576 m (BT-05 sin trazado). REVISAR CANTIDADES EN SITIO</t>
        </is>
      </c>
    </row>
    <row r="15" ht="28" customHeight="1">
      <c r="A15" s="4" t="inlineStr">
        <is>
          <t>IN14.10</t>
        </is>
      </c>
      <c r="B15" s="4" t="inlineStr">
        <is>
          <t>Alimentador Múltiple y Fútbol 6 (2#6 Al + T)</t>
        </is>
      </c>
      <c r="C15" s="4" t="inlineStr">
        <is>
          <t>M</t>
        </is>
      </c>
      <c r="D15" s="4" t="n">
        <v>486.8</v>
      </c>
      <c r="E15" s="4" t="n">
        <v>196</v>
      </c>
      <c r="F15" s="4" t="n">
        <v>408</v>
      </c>
      <c r="G15" s="4" t="n"/>
      <c r="H15" s="25" t="n">
        <v>408</v>
      </c>
      <c r="I15" s="39">
        <f>D15-H15</f>
        <v/>
      </c>
      <c r="J15" s="40" t="n">
        <v>117358</v>
      </c>
      <c r="K15" s="40">
        <f>MAX(0,I15)*J15</f>
        <v/>
      </c>
      <c r="L15" s="4" t="inlineStr">
        <is>
          <t>Cálculo: 6 postes = 408 m. DXF (IE BT-01/02) ≈ 196 m, incompleto. Referencia conservadora = cálculo.</t>
        </is>
      </c>
    </row>
    <row r="16">
      <c r="A16" s="4" t="inlineStr">
        <is>
          <t>IN14.7</t>
        </is>
      </c>
      <c r="B16" s="4" t="inlineStr">
        <is>
          <t>Acometida transformador–TGD (2×350 MCM Al)</t>
        </is>
      </c>
      <c r="C16" s="4" t="inlineStr">
        <is>
          <t>M</t>
        </is>
      </c>
      <c r="D16" s="4" t="n">
        <v>27.6</v>
      </c>
      <c r="E16" s="4" t="n"/>
      <c r="F16" s="4" t="n">
        <v>15</v>
      </c>
      <c r="G16" s="4" t="n"/>
      <c r="H16" s="25" t="n">
        <v>15</v>
      </c>
      <c r="I16" s="39">
        <f>D16-H16</f>
        <v/>
      </c>
      <c r="J16" s="40" t="n">
        <v>471887</v>
      </c>
      <c r="K16" s="40">
        <f>MAX(0,I16)*J16</f>
        <v/>
      </c>
      <c r="L16" s="4" t="inlineStr">
        <is>
          <t>Cálculo usa 15 m. Verificar localización real del transformador y del TGD.</t>
        </is>
      </c>
    </row>
    <row r="17">
      <c r="A17" s="4" t="inlineStr">
        <is>
          <t>IN14.9</t>
        </is>
      </c>
      <c r="B17" s="4" t="inlineStr">
        <is>
          <t>Acometida TB-Garita (2#6 Al)</t>
        </is>
      </c>
      <c r="C17" s="4" t="inlineStr">
        <is>
          <t>M</t>
        </is>
      </c>
      <c r="D17" s="4" t="n">
        <v>64.8</v>
      </c>
      <c r="E17" s="4" t="n"/>
      <c r="F17" s="4" t="n">
        <v>58</v>
      </c>
      <c r="G17" s="4" t="n"/>
      <c r="H17" s="25" t="n">
        <v>58</v>
      </c>
      <c r="I17" s="39">
        <f>D17-H17</f>
        <v/>
      </c>
      <c r="J17" s="40" t="n">
        <v>134966</v>
      </c>
      <c r="K17" s="40">
        <f>MAX(0,I17)*J17</f>
        <v/>
      </c>
      <c r="L17" s="4" t="inlineStr">
        <is>
          <t>Cálculo: 58 m.</t>
        </is>
      </c>
    </row>
    <row r="18">
      <c r="A18" s="4" t="inlineStr">
        <is>
          <t>IN14.8</t>
        </is>
      </c>
      <c r="B18" s="4" t="inlineStr">
        <is>
          <t>Acometida TB-Camerinos (2#8 Al)</t>
        </is>
      </c>
      <c r="C18" s="4" t="inlineStr">
        <is>
          <t>M</t>
        </is>
      </c>
      <c r="D18" s="4" t="n">
        <v>4.8</v>
      </c>
      <c r="E18" s="4" t="n"/>
      <c r="F18" s="4" t="n">
        <v>8</v>
      </c>
      <c r="G18" s="4" t="n"/>
      <c r="H18" s="25" t="n">
        <v>8</v>
      </c>
      <c r="I18" s="39">
        <f>D18-H18</f>
        <v/>
      </c>
      <c r="J18" s="40" t="n">
        <v>115242</v>
      </c>
      <c r="K18" s="40">
        <f>MAX(0,I18)*J18</f>
        <v/>
      </c>
      <c r="L18" s="4" t="inlineStr">
        <is>
          <t>Balance por debajo del cálculo (8 m): déficit, no genera valor no sustentado.</t>
        </is>
      </c>
    </row>
    <row r="19" ht="28" customHeight="1">
      <c r="A19" s="4" t="inlineStr">
        <is>
          <t>IN14.14 / .15</t>
        </is>
      </c>
      <c r="B19" s="4" t="inlineStr">
        <is>
          <t>Breakers enchufables 2×30 A (2) y 2×40 A (1)</t>
        </is>
      </c>
      <c r="C19" s="4" t="inlineStr">
        <is>
          <t>UND</t>
        </is>
      </c>
      <c r="D19" s="4" t="n">
        <v>3</v>
      </c>
      <c r="E19" s="4" t="n"/>
      <c r="F19" s="4" t="n"/>
      <c r="G19" s="4" t="n"/>
      <c r="H19" s="25" t="n">
        <v>0</v>
      </c>
      <c r="I19" s="39">
        <f>D19-H19</f>
        <v/>
      </c>
      <c r="J19" s="40" t="n">
        <v>205400</v>
      </c>
      <c r="K19" s="40">
        <f>MAX(0,I19)*J19</f>
        <v/>
      </c>
      <c r="L19" s="4" t="inlineStr">
        <is>
          <t>Posible doble cobro con 4.22 (tablero general "según unifilar"). Referencia 0 hasta ver el APU de 4.22. Valor unit. = promedio (400.562+215.638)/3.</t>
        </is>
      </c>
    </row>
    <row r="20" ht="28" customHeight="1">
      <c r="A20" s="4" t="inlineStr">
        <is>
          <t>S/I</t>
        </is>
      </c>
      <c r="B20" s="4" t="inlineStr">
        <is>
          <t>Transformador 50 kVA tipo poste</t>
        </is>
      </c>
      <c r="C20" s="4" t="inlineStr">
        <is>
          <t>UND</t>
        </is>
      </c>
      <c r="D20" s="4" t="n">
        <v>0</v>
      </c>
      <c r="E20" s="4" t="n"/>
      <c r="F20" s="4" t="n"/>
      <c r="G20" s="4" t="n">
        <v>1</v>
      </c>
      <c r="H20" s="25" t="n">
        <v>1</v>
      </c>
      <c r="I20" s="39">
        <f>D20-H20</f>
        <v/>
      </c>
      <c r="J20" s="40" t="n">
        <v>0</v>
      </c>
      <c r="K20" s="40">
        <f>MAX(0,I20)*J20</f>
        <v/>
      </c>
      <c r="L20" s="4" t="inlineStr">
        <is>
          <t>Unifilar: 50 kVA. Balance: 4.9 (100 kVA) retirado, sin ítem de reemplazo. Déficit: aclarar suministro (¿Afinia?).</t>
        </is>
      </c>
    </row>
    <row r="21">
      <c r="A21" s="4" t="inlineStr">
        <is>
          <t>S/I</t>
        </is>
      </c>
      <c r="B21" s="4" t="inlineStr">
        <is>
          <t>Poste de concreto EPP007 (soporte del transformador)</t>
        </is>
      </c>
      <c r="C21" s="4" t="inlineStr">
        <is>
          <t>UND</t>
        </is>
      </c>
      <c r="D21" s="4" t="n">
        <v>0</v>
      </c>
      <c r="E21" s="4" t="n"/>
      <c r="F21" s="4" t="n"/>
      <c r="G21" s="4" t="n">
        <v>1</v>
      </c>
      <c r="H21" s="25" t="n">
        <v>1</v>
      </c>
      <c r="I21" s="39">
        <f>D21-H21</f>
        <v/>
      </c>
      <c r="J21" s="40" t="n">
        <v>0</v>
      </c>
      <c r="K21" s="40">
        <f>MAX(0,I21)*J21</f>
        <v/>
      </c>
      <c r="L21" s="4" t="inlineStr">
        <is>
          <t>4.5 retirado, sin reemplazo. Aclarar.</t>
        </is>
      </c>
    </row>
    <row r="22">
      <c r="A22" s="4" t="inlineStr">
        <is>
          <t>S/I</t>
        </is>
      </c>
      <c r="B22" s="4" t="inlineStr">
        <is>
          <t>DPS (3 en MT, 3 en transformador, 1 en TGD)</t>
        </is>
      </c>
      <c r="C22" s="4" t="inlineStr">
        <is>
          <t>UND</t>
        </is>
      </c>
      <c r="D22" s="4" t="n">
        <v>0</v>
      </c>
      <c r="E22" s="4" t="n"/>
      <c r="F22" s="4" t="n"/>
      <c r="G22" s="4" t="n">
        <v>7</v>
      </c>
      <c r="H22" s="25" t="n">
        <v>7</v>
      </c>
      <c r="I22" s="39">
        <f>D22-H22</f>
        <v/>
      </c>
      <c r="J22" s="40" t="n">
        <v>0</v>
      </c>
      <c r="K22" s="40">
        <f>MAX(0,I22)*J22</f>
        <v/>
      </c>
      <c r="L22" s="4" t="inlineStr">
        <is>
          <t>No hay ítem de DPS en el balance (solo 4.6 protecciones y herrajes).</t>
        </is>
      </c>
    </row>
    <row r="24">
      <c r="J24" s="10" t="inlineStr">
        <is>
          <t>TOTAL no sustentado</t>
        </is>
      </c>
      <c r="K24" s="50">
        <f>SUM(K5:K22)</f>
        <v/>
      </c>
    </row>
    <row r="26">
      <c r="B26" s="13" t="inlineStr">
        <is>
          <t>Nota: la cifra no incluye el posible sobreprecio de los proyectores de 820 W ni el valor de ítems faltantes (transformador, poste, DPS).</t>
        </is>
      </c>
    </row>
  </sheetData>
  <pageMargins left="0.75" right="0.75" top="1" bottom="1" header="0.5" footer="0.5"/>
  <pageSetup orientation="landscape"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O23"/>
  <sheetViews>
    <sheetView showGridLines="0" workbookViewId="0">
      <pane xSplit="1" ySplit="10" topLeftCell="B11" activePane="bottomRight" state="frozen"/>
      <selection pane="topRight" activeCell="A1" sqref="A1"/>
      <selection pane="bottomLeft" activeCell="A1" sqref="A1"/>
      <selection pane="bottomRight" activeCell="D12" sqref="D12:D13"/>
    </sheetView>
  </sheetViews>
  <sheetFormatPr baseColWidth="10" defaultColWidth="8.83203125" defaultRowHeight="15"/>
  <cols>
    <col width="20" customWidth="1" min="1" max="1"/>
    <col width="12" customWidth="1" min="2" max="3"/>
    <col width="26" customWidth="1" min="4" max="4"/>
    <col width="14" customWidth="1" min="5" max="5"/>
    <col width="13" customWidth="1" min="6" max="8"/>
    <col width="12" customWidth="1" min="9" max="9"/>
    <col width="14" customWidth="1" min="10" max="11"/>
    <col width="13" customWidth="1" min="12" max="12"/>
    <col width="14" customWidth="1" min="13" max="13"/>
    <col width="12" customWidth="1" min="14" max="14"/>
    <col width="52" customWidth="1" min="15" max="15"/>
  </cols>
  <sheetData>
    <row r="1" ht="22" customHeight="1">
      <c r="D1" s="1" t="inlineStr">
        <is>
          <t>Recalculo de regulación de tensión (circuitos monofásicos 2F, 240 V)</t>
        </is>
      </c>
    </row>
    <row r="2" ht="22" customHeight="1">
      <c r="D2" s="2" t="inlineStr">
        <is>
          <t>ΔV = 2·L·P / (γ·S·V). Celdas amarillas editables. Con γ = 56 (Cu) se reproduce lo presentado por el contratista.</t>
        </is>
      </c>
    </row>
    <row r="4">
      <c r="A4" s="10" t="inlineStr">
        <is>
          <t>γ aluminio (m/Ω·mm²)</t>
        </is>
      </c>
      <c r="B4" s="26" t="n">
        <v>35</v>
      </c>
      <c r="D4" s="13" t="inlineStr">
        <is>
          <t>Criterio: NTC 2050 210-19 y 215-2 (notas informativas: 3 % alimentador / 5 % total). Confirmar criterio contractual.</t>
        </is>
      </c>
    </row>
    <row r="5">
      <c r="A5" s="10" t="inlineStr">
        <is>
          <t>γ usado por el contratista</t>
        </is>
      </c>
      <c r="B5" s="26" t="n">
        <v>56</v>
      </c>
    </row>
    <row r="6">
      <c r="A6" s="10" t="inlineStr">
        <is>
          <t>Tensión V</t>
        </is>
      </c>
      <c r="B6" s="26" t="n">
        <v>240</v>
      </c>
    </row>
    <row r="7">
      <c r="A7" s="10" t="inlineStr">
        <is>
          <t>Límite alimentador (%)</t>
        </is>
      </c>
      <c r="B7" s="54" t="n">
        <v>0.03</v>
      </c>
    </row>
    <row r="8">
      <c r="A8" s="10" t="inlineStr">
        <is>
          <t>Límite total (%)</t>
        </is>
      </c>
      <c r="B8" s="54" t="n">
        <v>0.05</v>
      </c>
    </row>
    <row r="10" ht="42" customHeight="1">
      <c r="A10" s="7" t="inlineStr">
        <is>
          <t>Circuito</t>
        </is>
      </c>
      <c r="B10" s="7" t="inlineStr">
        <is>
          <t>Carga P (W)</t>
        </is>
      </c>
      <c r="C10" s="7" t="inlineStr">
        <is>
          <t>Longitud (m)</t>
        </is>
      </c>
      <c r="D10" s="7" t="inlineStr">
        <is>
          <t>Cable (según unifilar)</t>
        </is>
      </c>
      <c r="E10" s="7" t="inlineStr">
        <is>
          <t>S usada por contratista (mm²)</t>
        </is>
      </c>
      <c r="F10" s="7" t="inlineStr">
        <is>
          <t>S real del cable (mm²)</t>
        </is>
      </c>
      <c r="G10" s="7" t="inlineStr">
        <is>
          <t>% contratista (hoja)</t>
        </is>
      </c>
      <c r="H10" s="7" t="inlineStr">
        <is>
          <t>ΔV recalculada (V)</t>
        </is>
      </c>
      <c r="I10" s="7" t="inlineStr">
        <is>
          <t>% recalculado</t>
        </is>
      </c>
      <c r="J10" s="7" t="inlineStr">
        <is>
          <t>Estado alimentador</t>
        </is>
      </c>
      <c r="K10" s="7" t="inlineStr">
        <is>
          <t>% total (con transformador)</t>
        </is>
      </c>
      <c r="L10" s="7" t="inlineStr">
        <is>
          <t>Estado total</t>
        </is>
      </c>
      <c r="M10" s="7" t="inlineStr">
        <is>
          <t>S alterna propuesta (mm²)</t>
        </is>
      </c>
      <c r="N10" s="7" t="inlineStr">
        <is>
          <t>% con S alterna</t>
        </is>
      </c>
      <c r="O10" s="7" t="inlineStr">
        <is>
          <t>Observación</t>
        </is>
      </c>
    </row>
    <row r="11" ht="28" customHeight="1">
      <c r="A11" s="4" t="inlineStr">
        <is>
          <t>Transformador → TGD</t>
        </is>
      </c>
      <c r="B11" s="28" t="n">
        <v>45000</v>
      </c>
      <c r="C11" s="4" t="n">
        <v>15</v>
      </c>
      <c r="D11" s="4" t="inlineStr">
        <is>
          <t>2×350 MCM Al</t>
        </is>
      </c>
      <c r="E11" s="4" t="n">
        <v>202</v>
      </c>
      <c r="F11" s="4" t="n">
        <v>177.34</v>
      </c>
      <c r="G11" s="29" t="n">
        <v>0.00207</v>
      </c>
      <c r="H11" s="30">
        <f>2*C11*B11/($B$4*F11*$B$6)</f>
        <v/>
      </c>
      <c r="I11" s="29">
        <f>H11/$B$6</f>
        <v/>
      </c>
      <c r="J11" s="4">
        <f>IF(I11&gt;$B$7,"NO CUMPLE","CUMPLE")</f>
        <v/>
      </c>
      <c r="K11" s="29">
        <f>I11</f>
        <v/>
      </c>
      <c r="L11" s="4">
        <f>IF(K11&gt;$B$8,"NO CUMPLE","CUMPLE")</f>
        <v/>
      </c>
      <c r="M11" s="4" t="n"/>
      <c r="N11" s="29" t="n"/>
      <c r="O11" s="4" t="inlineStr">
        <is>
          <t>Contratista usa 202 mm² (350 MCM = 177,34). Carga = capacidad nominal, no carga real.</t>
        </is>
      </c>
    </row>
    <row r="12">
      <c r="A12" s="4" t="inlineStr">
        <is>
          <t>Mástil 1</t>
        </is>
      </c>
      <c r="B12" s="28" t="n">
        <v>3840</v>
      </c>
      <c r="C12" s="4" t="n">
        <v>232</v>
      </c>
      <c r="D12" s="4" t="inlineStr">
        <is>
          <t>2#4 Al</t>
        </is>
      </c>
      <c r="E12" s="4" t="n">
        <v>68</v>
      </c>
      <c r="F12" s="4" t="n">
        <v>21.14</v>
      </c>
      <c r="G12" s="29" t="n">
        <v>0.00812</v>
      </c>
      <c r="H12" s="30">
        <f>2*C12*B12/($B$4*F12*$B$6)</f>
        <v/>
      </c>
      <c r="I12" s="29">
        <f>H12/$B$6</f>
        <v/>
      </c>
      <c r="J12" s="4">
        <f>IF(I12&gt;$B$7,"NO CUMPLE","CUMPLE")</f>
        <v/>
      </c>
      <c r="K12" s="29">
        <f>I12+$I$11</f>
        <v/>
      </c>
      <c r="L12" s="4">
        <f>IF(K12&gt;$B$8,"NO CUMPLE","CUMPLE")</f>
        <v/>
      </c>
      <c r="M12" s="25" t="n">
        <v>33.62</v>
      </c>
      <c r="N12" s="29">
        <f>2*C12*B12/($B$4*M12*$B$6)/$B$6</f>
        <v/>
      </c>
      <c r="O12" s="4" t="inlineStr">
        <is>
          <t>Contratista usa 68 mm² (≈2/0) en lugar de 21,14.</t>
        </is>
      </c>
    </row>
    <row r="13">
      <c r="A13" s="4" t="inlineStr">
        <is>
          <t>Mástil 2</t>
        </is>
      </c>
      <c r="B13" s="28" t="n">
        <v>3840</v>
      </c>
      <c r="C13" s="4" t="n">
        <v>191</v>
      </c>
      <c r="D13" s="4" t="inlineStr">
        <is>
          <t>2#4 Al</t>
        </is>
      </c>
      <c r="E13" s="4" t="n">
        <v>21.14</v>
      </c>
      <c r="F13" s="4" t="n">
        <v>21.14</v>
      </c>
      <c r="G13" s="29" t="n">
        <v>0.02151</v>
      </c>
      <c r="H13" s="30">
        <f>2*C13*B13/($B$4*F13*$B$6)</f>
        <v/>
      </c>
      <c r="I13" s="29">
        <f>H13/$B$6</f>
        <v/>
      </c>
      <c r="J13" s="4">
        <f>IF(I13&gt;$B$7,"NO CUMPLE","CUMPLE")</f>
        <v/>
      </c>
      <c r="K13" s="29">
        <f>I13+$I$11</f>
        <v/>
      </c>
      <c r="L13" s="4">
        <f>IF(K13&gt;$B$8,"NO CUMPLE","CUMPLE")</f>
        <v/>
      </c>
      <c r="M13" s="25" t="n">
        <v>33.62</v>
      </c>
      <c r="N13" s="29">
        <f>2*C13*B13/($B$4*M13*$B$6)/$B$6</f>
        <v/>
      </c>
      <c r="O13" s="4" t="n"/>
    </row>
    <row r="14">
      <c r="A14" s="4" t="inlineStr">
        <is>
          <t>Mástil 3</t>
        </is>
      </c>
      <c r="B14" s="28" t="n">
        <v>3840</v>
      </c>
      <c r="C14" s="4" t="n">
        <v>105</v>
      </c>
      <c r="D14" s="4" t="inlineStr">
        <is>
          <t>2#4 Al</t>
        </is>
      </c>
      <c r="E14" s="4" t="n">
        <v>21.14</v>
      </c>
      <c r="F14" s="4" t="n">
        <v>21.14</v>
      </c>
      <c r="G14" s="29" t="n">
        <v>0.01183</v>
      </c>
      <c r="H14" s="30">
        <f>2*C14*B14/($B$4*F14*$B$6)</f>
        <v/>
      </c>
      <c r="I14" s="29">
        <f>H14/$B$6</f>
        <v/>
      </c>
      <c r="J14" s="4">
        <f>IF(I14&gt;$B$7,"NO CUMPLE","CUMPLE")</f>
        <v/>
      </c>
      <c r="K14" s="29">
        <f>I14+$I$11</f>
        <v/>
      </c>
      <c r="L14" s="4">
        <f>IF(K14&gt;$B$8,"NO CUMPLE","CUMPLE")</f>
        <v/>
      </c>
      <c r="M14" s="25" t="n">
        <v>33.62</v>
      </c>
      <c r="N14" s="29">
        <f>2*C14*B14/($B$4*M14*$B$6)/$B$6</f>
        <v/>
      </c>
      <c r="O14" s="4" t="n"/>
    </row>
    <row r="15">
      <c r="A15" s="4" t="inlineStr">
        <is>
          <t>Mástil 4</t>
        </is>
      </c>
      <c r="B15" s="28" t="n">
        <v>3840</v>
      </c>
      <c r="C15" s="4" t="n">
        <v>145</v>
      </c>
      <c r="D15" s="4" t="inlineStr">
        <is>
          <t>2#4 Al</t>
        </is>
      </c>
      <c r="E15" s="4" t="n">
        <v>21.14</v>
      </c>
      <c r="F15" s="4" t="n">
        <v>21.14</v>
      </c>
      <c r="G15" s="29" t="n">
        <v>0.01633</v>
      </c>
      <c r="H15" s="30">
        <f>2*C15*B15/($B$4*F15*$B$6)</f>
        <v/>
      </c>
      <c r="I15" s="29">
        <f>H15/$B$6</f>
        <v/>
      </c>
      <c r="J15" s="4">
        <f>IF(I15&gt;$B$7,"NO CUMPLE","CUMPLE")</f>
        <v/>
      </c>
      <c r="K15" s="29">
        <f>I15+$I$11</f>
        <v/>
      </c>
      <c r="L15" s="4">
        <f>IF(K15&gt;$B$8,"NO CUMPLE","CUMPLE")</f>
        <v/>
      </c>
      <c r="M15" s="25" t="n">
        <v>33.62</v>
      </c>
      <c r="N15" s="29">
        <f>2*C15*B15/($B$4*M15*$B$6)/$B$6</f>
        <v/>
      </c>
      <c r="O15" s="4" t="n"/>
    </row>
    <row r="16">
      <c r="A16" s="4" t="inlineStr">
        <is>
          <t>Poste 12 m 1</t>
        </is>
      </c>
      <c r="B16" s="28" t="n">
        <v>480</v>
      </c>
      <c r="C16" s="4" t="n">
        <v>64</v>
      </c>
      <c r="D16" s="4" t="inlineStr">
        <is>
          <t>2#6 Al</t>
        </is>
      </c>
      <c r="E16" s="4" t="n">
        <v>13.29</v>
      </c>
      <c r="F16" s="4" t="n">
        <v>13.29</v>
      </c>
      <c r="G16" s="29" t="n">
        <v>0.00143</v>
      </c>
      <c r="H16" s="30">
        <f>2*C16*B16/($B$4*F16*$B$6)</f>
        <v/>
      </c>
      <c r="I16" s="29">
        <f>H16/$B$6</f>
        <v/>
      </c>
      <c r="J16" s="4">
        <f>IF(I16&gt;$B$7,"NO CUMPLE","CUMPLE")</f>
        <v/>
      </c>
      <c r="K16" s="29">
        <f>I16+$I$11</f>
        <v/>
      </c>
      <c r="L16" s="4">
        <f>IF(K16&gt;$B$8,"NO CUMPLE","CUMPLE")</f>
        <v/>
      </c>
      <c r="M16" s="4" t="n"/>
      <c r="N16" s="29" t="n"/>
      <c r="O16" s="4" t="inlineStr">
        <is>
          <t>Cálculo tiene 6 postes; unifilar 2 circuitos; plano 2/4.</t>
        </is>
      </c>
    </row>
    <row r="17">
      <c r="A17" s="4" t="inlineStr">
        <is>
          <t>Poste 12 m 2</t>
        </is>
      </c>
      <c r="B17" s="28" t="n">
        <v>480</v>
      </c>
      <c r="C17" s="4" t="n">
        <v>53</v>
      </c>
      <c r="D17" s="4" t="inlineStr">
        <is>
          <t>2#6 Al</t>
        </is>
      </c>
      <c r="E17" s="4" t="n">
        <v>13.29</v>
      </c>
      <c r="F17" s="4" t="n">
        <v>13.29</v>
      </c>
      <c r="G17" s="29" t="n">
        <v>0.00119</v>
      </c>
      <c r="H17" s="30">
        <f>2*C17*B17/($B$4*F17*$B$6)</f>
        <v/>
      </c>
      <c r="I17" s="29">
        <f>H17/$B$6</f>
        <v/>
      </c>
      <c r="J17" s="4">
        <f>IF(I17&gt;$B$7,"NO CUMPLE","CUMPLE")</f>
        <v/>
      </c>
      <c r="K17" s="29">
        <f>I17+$I$11</f>
        <v/>
      </c>
      <c r="L17" s="4">
        <f>IF(K17&gt;$B$8,"NO CUMPLE","CUMPLE")</f>
        <v/>
      </c>
      <c r="M17" s="4" t="n"/>
      <c r="N17" s="29" t="n"/>
      <c r="O17" s="4" t="n"/>
    </row>
    <row r="18">
      <c r="A18" s="4" t="inlineStr">
        <is>
          <t>Poste 12 m 3</t>
        </is>
      </c>
      <c r="B18" s="28" t="n">
        <v>480</v>
      </c>
      <c r="C18" s="4" t="n">
        <v>31</v>
      </c>
      <c r="D18" s="4" t="inlineStr">
        <is>
          <t>2#6 Al</t>
        </is>
      </c>
      <c r="E18" s="4" t="n">
        <v>13.29</v>
      </c>
      <c r="F18" s="4" t="n">
        <v>13.29</v>
      </c>
      <c r="G18" s="29" t="n">
        <v>0.00069</v>
      </c>
      <c r="H18" s="30">
        <f>2*C18*B18/($B$4*F18*$B$6)</f>
        <v/>
      </c>
      <c r="I18" s="29">
        <f>H18/$B$6</f>
        <v/>
      </c>
      <c r="J18" s="4">
        <f>IF(I18&gt;$B$7,"NO CUMPLE","CUMPLE")</f>
        <v/>
      </c>
      <c r="K18" s="29">
        <f>I18+$I$11</f>
        <v/>
      </c>
      <c r="L18" s="4">
        <f>IF(K18&gt;$B$8,"NO CUMPLE","CUMPLE")</f>
        <v/>
      </c>
      <c r="M18" s="4" t="n"/>
      <c r="N18" s="29" t="n"/>
      <c r="O18" s="4" t="n"/>
    </row>
    <row r="19">
      <c r="A19" s="4" t="inlineStr">
        <is>
          <t>Poste 12 m 4</t>
        </is>
      </c>
      <c r="B19" s="28" t="n">
        <v>480</v>
      </c>
      <c r="C19" s="4" t="n">
        <v>94</v>
      </c>
      <c r="D19" s="4" t="inlineStr">
        <is>
          <t>2#6 Al</t>
        </is>
      </c>
      <c r="E19" s="4" t="n">
        <v>13.29</v>
      </c>
      <c r="F19" s="4" t="n">
        <v>13.29</v>
      </c>
      <c r="G19" s="29" t="n">
        <v>0.00211</v>
      </c>
      <c r="H19" s="30">
        <f>2*C19*B19/($B$4*F19*$B$6)</f>
        <v/>
      </c>
      <c r="I19" s="29">
        <f>H19/$B$6</f>
        <v/>
      </c>
      <c r="J19" s="4">
        <f>IF(I19&gt;$B$7,"NO CUMPLE","CUMPLE")</f>
        <v/>
      </c>
      <c r="K19" s="29">
        <f>I19+$I$11</f>
        <v/>
      </c>
      <c r="L19" s="4">
        <f>IF(K19&gt;$B$8,"NO CUMPLE","CUMPLE")</f>
        <v/>
      </c>
      <c r="M19" s="4" t="n"/>
      <c r="N19" s="29" t="n"/>
      <c r="O19" s="4" t="n"/>
    </row>
    <row r="20">
      <c r="A20" s="4" t="inlineStr">
        <is>
          <t>Poste 12 m 5</t>
        </is>
      </c>
      <c r="B20" s="28" t="n">
        <v>480</v>
      </c>
      <c r="C20" s="4" t="n">
        <v>113</v>
      </c>
      <c r="D20" s="4" t="inlineStr">
        <is>
          <t>2#6 Al</t>
        </is>
      </c>
      <c r="E20" s="4" t="n">
        <v>13.29</v>
      </c>
      <c r="F20" s="4" t="n">
        <v>13.29</v>
      </c>
      <c r="G20" s="29" t="n">
        <v>0.00253</v>
      </c>
      <c r="H20" s="30">
        <f>2*C20*B20/($B$4*F20*$B$6)</f>
        <v/>
      </c>
      <c r="I20" s="29">
        <f>H20/$B$6</f>
        <v/>
      </c>
      <c r="J20" s="4">
        <f>IF(I20&gt;$B$7,"NO CUMPLE","CUMPLE")</f>
        <v/>
      </c>
      <c r="K20" s="29">
        <f>I20+$I$11</f>
        <v/>
      </c>
      <c r="L20" s="4">
        <f>IF(K20&gt;$B$8,"NO CUMPLE","CUMPLE")</f>
        <v/>
      </c>
      <c r="M20" s="4" t="n"/>
      <c r="N20" s="29" t="n"/>
      <c r="O20" s="4" t="n"/>
    </row>
    <row r="21">
      <c r="A21" s="4" t="inlineStr">
        <is>
          <t>Poste 12 m 6</t>
        </is>
      </c>
      <c r="B21" s="28" t="n">
        <v>480</v>
      </c>
      <c r="C21" s="4" t="n">
        <v>53</v>
      </c>
      <c r="D21" s="4" t="inlineStr">
        <is>
          <t>2#6 Al</t>
        </is>
      </c>
      <c r="E21" s="4" t="n">
        <v>13.29</v>
      </c>
      <c r="F21" s="4" t="n">
        <v>13.29</v>
      </c>
      <c r="G21" s="29" t="n">
        <v>0.00119</v>
      </c>
      <c r="H21" s="30">
        <f>2*C21*B21/($B$4*F21*$B$6)</f>
        <v/>
      </c>
      <c r="I21" s="29">
        <f>H21/$B$6</f>
        <v/>
      </c>
      <c r="J21" s="4">
        <f>IF(I21&gt;$B$7,"NO CUMPLE","CUMPLE")</f>
        <v/>
      </c>
      <c r="K21" s="29">
        <f>I21+$I$11</f>
        <v/>
      </c>
      <c r="L21" s="4">
        <f>IF(K21&gt;$B$8,"NO CUMPLE","CUMPLE")</f>
        <v/>
      </c>
      <c r="M21" s="4" t="n"/>
      <c r="N21" s="29" t="n"/>
      <c r="O21" s="4" t="n"/>
    </row>
    <row r="22">
      <c r="A22" s="4" t="inlineStr">
        <is>
          <t>TB-Camerinos</t>
        </is>
      </c>
      <c r="B22" s="28" t="n">
        <v>8722</v>
      </c>
      <c r="C22" s="4" t="n">
        <v>8</v>
      </c>
      <c r="D22" s="4" t="inlineStr">
        <is>
          <t>2#8 (Al/Cu?)</t>
        </is>
      </c>
      <c r="E22" s="4" t="n">
        <v>8.359999999999999</v>
      </c>
      <c r="F22" s="4" t="n">
        <v>8.359999999999999</v>
      </c>
      <c r="G22" s="29" t="n">
        <v>0.00518</v>
      </c>
      <c r="H22" s="30">
        <f>2*C22*B22/($B$4*F22*$B$6)</f>
        <v/>
      </c>
      <c r="I22" s="29">
        <f>H22/$B$6</f>
        <v/>
      </c>
      <c r="J22" s="4">
        <f>IF(I22&gt;$B$7,"NO CUMPLE","CUMPLE")</f>
        <v/>
      </c>
      <c r="K22" s="29">
        <f>I22+$I$11</f>
        <v/>
      </c>
      <c r="L22" s="4">
        <f>IF(K22&gt;$B$8,"NO CUMPLE","CUMPLE")</f>
        <v/>
      </c>
      <c r="M22" s="4" t="n"/>
      <c r="N22" s="29" t="n"/>
      <c r="O22" s="4" t="inlineStr">
        <is>
          <t>Corriente 40,4 A &gt; breaker 40 A.</t>
        </is>
      </c>
    </row>
    <row r="23">
      <c r="A23" s="4" t="inlineStr">
        <is>
          <t>TB-Garita</t>
        </is>
      </c>
      <c r="B23" s="28" t="n">
        <v>5250</v>
      </c>
      <c r="C23" s="4" t="n">
        <v>58</v>
      </c>
      <c r="D23" s="4" t="inlineStr">
        <is>
          <t>2#6 Al</t>
        </is>
      </c>
      <c r="E23" s="4" t="n">
        <v>13.29</v>
      </c>
      <c r="F23" s="4" t="n">
        <v>13.29</v>
      </c>
      <c r="G23" s="29" t="n">
        <v>0.01421</v>
      </c>
      <c r="H23" s="30">
        <f>2*C23*B23/($B$4*F23*$B$6)</f>
        <v/>
      </c>
      <c r="I23" s="29">
        <f>H23/$B$6</f>
        <v/>
      </c>
      <c r="J23" s="4">
        <f>IF(I23&gt;$B$7,"NO CUMPLE","CUMPLE")</f>
        <v/>
      </c>
      <c r="K23" s="29">
        <f>I23+$I$11</f>
        <v/>
      </c>
      <c r="L23" s="4">
        <f>IF(K23&gt;$B$8,"NO CUMPLE","CUMPLE")</f>
        <v/>
      </c>
      <c r="M23" s="4" t="n"/>
      <c r="N23" s="29" t="n"/>
      <c r="O23" s="4" t="n"/>
    </row>
  </sheetData>
  <conditionalFormatting sqref="J11:J23">
    <cfRule type="cellIs" priority="1" operator="equal" dxfId="2">
      <formula>"NO CUMPLE"</formula>
    </cfRule>
    <cfRule type="cellIs" priority="2" operator="equal" dxfId="1">
      <formula>"CUMPLE"</formula>
    </cfRule>
  </conditionalFormatting>
  <conditionalFormatting sqref="L11:L23">
    <cfRule type="cellIs" priority="3" operator="equal" dxfId="2">
      <formula>"NO CUMPLE"</formula>
    </cfRule>
    <cfRule type="cellIs" priority="4" operator="equal" dxfId="1">
      <formula>"CUMPLE"</formula>
    </cfRule>
  </conditionalFormatting>
  <pageMargins left="0.75" right="0.75" top="1" bottom="1" header="0.5" footer="0.5"/>
  <pageSetup orientation="landscape"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R69"/>
  <sheetViews>
    <sheetView showGridLines="0" workbookViewId="0">
      <pane xSplit="6" ySplit="4" topLeftCell="G16" activePane="bottomRight" state="frozen"/>
      <selection pane="topRight" activeCell="A1" sqref="A1"/>
      <selection pane="bottomLeft" activeCell="A1" sqref="A1"/>
      <selection pane="bottomRight" activeCell="L4" sqref="L4"/>
    </sheetView>
  </sheetViews>
  <sheetFormatPr baseColWidth="10" defaultColWidth="8.83203125" defaultRowHeight="15"/>
  <cols>
    <col width="8" customWidth="1" min="1" max="1"/>
    <col width="18" customWidth="1" min="2" max="2"/>
    <col width="24" customWidth="1" min="3" max="3"/>
    <col width="18" customWidth="1" min="4" max="5"/>
    <col width="58" customWidth="1" min="6" max="6"/>
    <col width="28" customWidth="1" min="7" max="8"/>
    <col width="30" customWidth="1" min="9" max="9"/>
    <col width="11" customWidth="1" min="10" max="10"/>
    <col width="18" customWidth="1" min="11" max="11"/>
    <col width="50" customWidth="1" min="12" max="12"/>
    <col width="16" customWidth="1" min="13" max="13"/>
    <col width="12" customWidth="1" min="14" max="16"/>
    <col width="36" customWidth="1" min="17" max="17"/>
    <col width="30" customWidth="1" min="18" max="18"/>
  </cols>
  <sheetData>
    <row r="1" ht="22" customHeight="1">
      <c r="D1" s="1" t="inlineStr">
        <is>
          <t>Matriz de observaciones de la revisión eléctrica</t>
        </is>
      </c>
    </row>
    <row r="2" ht="22" customHeight="1">
      <c r="D2" s="2" t="inlineStr">
        <is>
          <t>Proyecto: Unidad Deportiva de Bayunca – Contrato 1376-2025 Lote 2. Columnas amarillas: seguimiento (contratista / interventoría).</t>
        </is>
      </c>
    </row>
    <row r="4" ht="32" customHeight="1">
      <c r="A4" s="7" t="inlineStr">
        <is>
          <t>ID</t>
        </is>
      </c>
      <c r="B4" s="7" t="inlineStr">
        <is>
          <t>Área</t>
        </is>
      </c>
      <c r="C4" s="7" t="inlineStr">
        <is>
          <t>Documento(s) fuente</t>
        </is>
      </c>
      <c r="D4" s="7" t="inlineStr">
        <is>
          <t>Ref. (ítem / plano / hoja)</t>
        </is>
      </c>
      <c r="E4" s="7" t="inlineStr">
        <is>
          <t>Tipo</t>
        </is>
      </c>
      <c r="F4" s="7" t="inlineStr">
        <is>
          <t>Descripción del hallazgo</t>
        </is>
      </c>
      <c r="G4" s="7" t="inlineStr">
        <is>
          <t>Dato documento A</t>
        </is>
      </c>
      <c r="H4" s="7" t="inlineStr">
        <is>
          <t>Dato documento B</t>
        </is>
      </c>
      <c r="I4" s="7" t="inlineStr">
        <is>
          <t>Norma / referencia</t>
        </is>
      </c>
      <c r="J4" s="7" t="inlineStr">
        <is>
          <t>Criticidad</t>
        </is>
      </c>
      <c r="K4" s="7" t="inlineStr">
        <is>
          <t>Valor no sustentado est. (COP)</t>
        </is>
      </c>
      <c r="L4" s="7" t="inlineStr">
        <is>
          <t>Acción exigida al contratista</t>
        </is>
      </c>
      <c r="M4" s="7" t="inlineStr">
        <is>
          <t>Responsable</t>
        </is>
      </c>
      <c r="N4" s="7" t="inlineStr">
        <is>
          <t>Fecha límite</t>
        </is>
      </c>
      <c r="O4" s="7" t="inlineStr">
        <is>
          <t>Estado</t>
        </is>
      </c>
      <c r="P4" s="7" t="inlineStr">
        <is>
          <t>Fecha de cierre</t>
        </is>
      </c>
      <c r="Q4" s="7" t="inlineStr">
        <is>
          <t>Respuesta / evidencia de cierre</t>
        </is>
      </c>
      <c r="R4" s="7" t="inlineStr">
        <is>
          <t>Observaciones interventoría</t>
        </is>
      </c>
    </row>
    <row r="5" ht="42" customHeight="1">
      <c r="A5" s="4" t="inlineStr">
        <is>
          <t>OBS-001</t>
        </is>
      </c>
      <c r="B5" s="4" t="inlineStr">
        <is>
          <t>Documentación</t>
        </is>
      </c>
      <c r="C5" s="4" t="inlineStr">
        <is>
          <t>Planos 01 y 02 (Stand Iluminaciones)</t>
        </is>
      </c>
      <c r="D5" s="4" t="inlineStr">
        <is>
          <t>Rótulo de planos</t>
        </is>
      </c>
      <c r="E5" s="4" t="inlineStr">
        <is>
          <t>Incumplimiento normativo</t>
        </is>
      </c>
      <c r="F5" s="4" t="inlineStr">
        <is>
          <t>Los planos de iluminación no tienen firma del diseñador ni matrícula profesional. Son un diseño comercial del proveedor y traen la nota "revalidar el diseño antes de la orden de pedido".</t>
        </is>
      </c>
      <c r="G5" s="4" t="inlineStr">
        <is>
          <t>Firma del diseñador: vacía</t>
        </is>
      </c>
      <c r="H5" s="4" t="inlineStr">
        <is>
          <t>Nota: revalidar antes de pedido</t>
        </is>
      </c>
      <c r="I5" s="4" t="inlineStr">
        <is>
          <t>RETIE vigente: diseño por profesional competente con matrícula</t>
        </is>
      </c>
      <c r="J5" s="4" t="inlineStr">
        <is>
          <t>Alta</t>
        </is>
      </c>
      <c r="K5" s="40" t="n"/>
      <c r="L5" s="4" t="inlineStr">
        <is>
          <t>Presentar diseño y memoria firmados por ingeniero electricista con matrícula profesional vigente, con revalidación del diseño.</t>
        </is>
      </c>
      <c r="M5" s="25" t="n"/>
      <c r="N5" s="55" t="n"/>
      <c r="O5" s="25" t="inlineStr">
        <is>
          <t>Abierta</t>
        </is>
      </c>
      <c r="P5" s="55" t="n"/>
      <c r="Q5" s="25" t="n"/>
      <c r="R5" s="25" t="n"/>
    </row>
    <row r="6" ht="42" customHeight="1">
      <c r="A6" s="4" t="inlineStr">
        <is>
          <t>OBS-002</t>
        </is>
      </c>
      <c r="B6" s="4" t="inlineStr">
        <is>
          <t>Documentación</t>
        </is>
      </c>
      <c r="C6" s="4" t="inlineStr">
        <is>
          <t>Planos 01/02, informe DIALux, Excel acta</t>
        </is>
      </c>
      <c r="D6" s="4" t="inlineStr">
        <is>
          <t>Fecha de planos</t>
        </is>
      </c>
      <c r="E6" s="4" t="inlineStr">
        <is>
          <t>Verificar</t>
        </is>
      </c>
      <c r="F6" s="4" t="inlineStr">
        <is>
          <t>Planos e informe tienen fecha 23-09-2026, tres días antes de la terminación contractual (26-09-2026). Hay que aclarar si el diseño se aprobó antes de comprar o instalar.</t>
        </is>
      </c>
      <c r="G6" s="4" t="inlineStr">
        <is>
          <t>Planos: 23-09-2026</t>
        </is>
      </c>
      <c r="H6" s="4" t="inlineStr">
        <is>
          <t>Terminación contractual: 26-09-2026</t>
        </is>
      </c>
      <c r="I6" s="4" t="inlineStr">
        <is>
          <t>Contrato 1376-2025 / procedimiento de modificaciones</t>
        </is>
      </c>
      <c r="J6" s="4" t="inlineStr">
        <is>
          <t>Media</t>
        </is>
      </c>
      <c r="K6" s="40" t="n"/>
      <c r="L6" s="4" t="inlineStr">
        <is>
          <t>Aportar acta o aprobación de la interventoría y del IDER que respalde la adopción del diseño y la fecha de aprobación.</t>
        </is>
      </c>
      <c r="M6" s="25" t="n"/>
      <c r="N6" s="55" t="n"/>
      <c r="O6" s="25" t="inlineStr">
        <is>
          <t>Abierta</t>
        </is>
      </c>
      <c r="P6" s="55" t="n"/>
      <c r="Q6" s="25" t="n"/>
      <c r="R6" s="25" t="n"/>
    </row>
    <row r="7" ht="28" customHeight="1">
      <c r="A7" s="4" t="inlineStr">
        <is>
          <t>OBS-003</t>
        </is>
      </c>
      <c r="B7" s="4" t="inlineStr">
        <is>
          <t>Documentación</t>
        </is>
      </c>
      <c r="C7" s="4" t="inlineStr">
        <is>
          <t>Informe DIALux</t>
        </is>
      </c>
      <c r="D7" s="4" t="inlineStr">
        <is>
          <t>Cancha de Fútbol 9</t>
        </is>
      </c>
      <c r="E7" s="4" t="inlineStr">
        <is>
          <t>Información faltante</t>
        </is>
      </c>
      <c r="F7" s="4" t="inlineStr">
        <is>
          <t>No se presentó el informe de iluminación de la cancha de Fútbol 9 (32 × 480 W, 4 mástiles de 22 m).</t>
        </is>
      </c>
      <c r="G7" s="4" t="inlineStr">
        <is>
          <t>Informe presentado: solo Múltiple</t>
        </is>
      </c>
      <c r="H7" s="4" t="inlineStr">
        <is>
          <t>Plano 01: Fútbol 9</t>
        </is>
      </c>
      <c r="I7" s="4" t="inlineStr">
        <is>
          <t>RETILAP vigente</t>
        </is>
      </c>
      <c r="J7" s="4" t="inlineStr">
        <is>
          <t>Alta</t>
        </is>
      </c>
      <c r="K7" s="40" t="n"/>
      <c r="L7" s="4" t="inlineStr">
        <is>
          <t>Presentar informe DIALux de Fútbol 9 con posiciones, alturas, orientación, Em, uniformidad y deslumbramiento.</t>
        </is>
      </c>
      <c r="M7" s="25" t="n"/>
      <c r="N7" s="55" t="n"/>
      <c r="O7" s="25" t="inlineStr">
        <is>
          <t>Abierta</t>
        </is>
      </c>
      <c r="P7" s="55" t="n"/>
      <c r="Q7" s="25" t="n"/>
      <c r="R7" s="25" t="n"/>
    </row>
    <row r="8" ht="28" customHeight="1">
      <c r="A8" s="4" t="inlineStr">
        <is>
          <t>OBS-004</t>
        </is>
      </c>
      <c r="B8" s="4" t="inlineStr">
        <is>
          <t>Documentación</t>
        </is>
      </c>
      <c r="C8" s="4" t="inlineStr">
        <is>
          <t>Unifilar, cálculo, Excel</t>
        </is>
      </c>
      <c r="D8" s="4" t="inlineStr">
        <is>
          <t>Cancha de Fútbol 6</t>
        </is>
      </c>
      <c r="E8" s="4" t="inlineStr">
        <is>
          <t>Información faltante</t>
        </is>
      </c>
      <c r="F8" s="4" t="inlineStr">
        <is>
          <t>Existe circuito en unifilar y alimentador en el balance (IN14.10), pero no hay plano ni informe de iluminación de Fútbol 6.</t>
        </is>
      </c>
      <c r="G8" s="4" t="inlineStr">
        <is>
          <t>Unifilar: circuito Fútbol 6 (≈1,7 kW)</t>
        </is>
      </c>
      <c r="H8" s="4" t="inlineStr">
        <is>
          <t>Planos: ninguno</t>
        </is>
      </c>
      <c r="I8" s="4" t="inlineStr">
        <is>
          <t>RETILAP vigente</t>
        </is>
      </c>
      <c r="J8" s="4" t="inlineStr">
        <is>
          <t>Alta</t>
        </is>
      </c>
      <c r="K8" s="40" t="n"/>
      <c r="L8" s="4" t="inlineStr">
        <is>
          <t>Presentar plano e informe de iluminación de Fútbol 6 o aclarar el alcance de esa cancha.</t>
        </is>
      </c>
      <c r="M8" s="25" t="n"/>
      <c r="N8" s="55" t="n"/>
      <c r="O8" s="25" t="inlineStr">
        <is>
          <t>Abierta</t>
        </is>
      </c>
      <c r="P8" s="55" t="n"/>
      <c r="Q8" s="25" t="n"/>
      <c r="R8" s="25" t="n"/>
    </row>
    <row r="9" ht="28" customHeight="1">
      <c r="A9" s="4" t="inlineStr">
        <is>
          <t>OBS-005</t>
        </is>
      </c>
      <c r="B9" s="4" t="inlineStr">
        <is>
          <t>Documentación</t>
        </is>
      </c>
      <c r="C9" s="4" t="inlineStr">
        <is>
          <t>Informe DIALux</t>
        </is>
      </c>
      <c r="D9" s="4" t="inlineStr">
        <is>
          <t>Fotometría</t>
        </is>
      </c>
      <c r="E9" s="4" t="inlineStr">
        <is>
          <t>Información faltante</t>
        </is>
      </c>
      <c r="F9" s="4" t="inlineStr">
        <is>
          <t>La luminaria usa fotometría "definida por el usuario". No hay archivos LDT/IES ni informe de laboratorio del modelo exacto.</t>
        </is>
      </c>
      <c r="G9" s="4" t="inlineStr">
        <is>
          <t>Informe: "Definido por el usuario"</t>
        </is>
      </c>
      <c r="H9" s="4" t="inlineStr">
        <is>
          <t>No se aportó certificado</t>
        </is>
      </c>
      <c r="I9" s="4" t="inlineStr">
        <is>
          <t>RETILAP vigente: certificado de conformidad del producto</t>
        </is>
      </c>
      <c r="J9" s="4" t="inlineStr">
        <is>
          <t>Media</t>
        </is>
      </c>
      <c r="K9" s="40" t="n"/>
      <c r="L9" s="4" t="inlineStr">
        <is>
          <t>Entregar LDT/IES, certificados RETILAP y fichas técnicas del modelo instalado.</t>
        </is>
      </c>
      <c r="M9" s="25" t="n"/>
      <c r="N9" s="55" t="n"/>
      <c r="O9" s="25" t="inlineStr">
        <is>
          <t>Abierta</t>
        </is>
      </c>
      <c r="P9" s="55" t="n"/>
      <c r="Q9" s="25" t="n"/>
      <c r="R9" s="25" t="n"/>
    </row>
    <row r="10" ht="28" customHeight="1">
      <c r="A10" s="4" t="inlineStr">
        <is>
          <t>OBS-006</t>
        </is>
      </c>
      <c r="B10" s="4" t="inlineStr">
        <is>
          <t>Documentación</t>
        </is>
      </c>
      <c r="C10" s="4" t="inlineStr">
        <is>
          <t>DXF, cálculo</t>
        </is>
      </c>
      <c r="D10" s="4" t="inlineStr">
        <is>
          <t>Tableros TB-CM-ADM, TB-GT, TBGCI</t>
        </is>
      </c>
      <c r="E10" s="4" t="inlineStr">
        <is>
          <t>Información faltante</t>
        </is>
      </c>
      <c r="F10" s="4" t="inlineStr">
        <is>
          <t>Faltan unifilares y cuadros de carga de los tableros de camerinos, garita y GFCI.</t>
        </is>
      </c>
      <c r="G10" s="4" t="inlineStr">
        <is>
          <t>DXF: rótulos de tableros</t>
        </is>
      </c>
      <c r="H10" s="4" t="inlineStr">
        <is>
          <t>No hay diagramas</t>
        </is>
      </c>
      <c r="I10" s="4" t="inlineStr">
        <is>
          <t>NTC 2050 / RETIE vigente: cuadros de carga y protecciones</t>
        </is>
      </c>
      <c r="J10" s="4" t="inlineStr">
        <is>
          <t>Media</t>
        </is>
      </c>
      <c r="K10" s="40" t="n"/>
      <c r="L10" s="4" t="inlineStr">
        <is>
          <t>Presentar unifilares y cuadros de carga de cada tablero.</t>
        </is>
      </c>
      <c r="M10" s="25" t="n"/>
      <c r="N10" s="55" t="n"/>
      <c r="O10" s="25" t="inlineStr">
        <is>
          <t>Abierta</t>
        </is>
      </c>
      <c r="P10" s="55" t="n"/>
      <c r="Q10" s="25" t="n"/>
      <c r="R10" s="25" t="n"/>
    </row>
    <row r="11" ht="28" customHeight="1">
      <c r="A11" s="4" t="inlineStr">
        <is>
          <t>OBS-007</t>
        </is>
      </c>
      <c r="B11" s="4" t="inlineStr">
        <is>
          <t>Iluminación (diseño)</t>
        </is>
      </c>
      <c r="C11" s="4" t="inlineStr">
        <is>
          <t>Plano 01, DXF, cálculo, Excel</t>
        </is>
      </c>
      <c r="D11" s="4" t="inlineStr">
        <is>
          <t>IN16.18 / Fútbol 9</t>
        </is>
      </c>
      <c r="E11" s="4" t="inlineStr">
        <is>
          <t>Discrepancia</t>
        </is>
      </c>
      <c r="F11" s="4" t="inlineStr">
        <is>
          <t>La cantidad coincide (32), pero el balance cobra proyectores de 820 W y el diseño usa 480 W (4G 45°).</t>
        </is>
      </c>
      <c r="G11" s="4" t="inlineStr">
        <is>
          <t>Balance: 32 × 820 W</t>
        </is>
      </c>
      <c r="H11" s="4" t="inlineStr">
        <is>
          <t>Plano/DXF/cálculo: 32 × 480 W</t>
        </is>
      </c>
      <c r="I11" s="4" t="inlineStr">
        <is>
          <t>Contrato / especificaciones técnicas</t>
        </is>
      </c>
      <c r="J11" s="4" t="inlineStr">
        <is>
          <t>Alta</t>
        </is>
      </c>
      <c r="K11" s="40">
        <f>Balance_Cantidades!K5</f>
        <v/>
      </c>
      <c r="L11" s="4" t="inlineStr">
        <is>
          <t>Aclarar la referencia a instalar. Si se instala 480 W, ajustar el valor del ítem. Si es 820 W, aportar diseño que lo respalde.</t>
        </is>
      </c>
      <c r="M11" s="25" t="n"/>
      <c r="N11" s="55" t="n"/>
      <c r="O11" s="25" t="inlineStr">
        <is>
          <t>Abierta</t>
        </is>
      </c>
      <c r="P11" s="55" t="n"/>
      <c r="Q11" s="25" t="n"/>
      <c r="R11" s="25" t="n"/>
    </row>
    <row r="12" ht="28" customHeight="1">
      <c r="A12" s="4" t="inlineStr">
        <is>
          <t>OBS-008</t>
        </is>
      </c>
      <c r="B12" s="4" t="inlineStr">
        <is>
          <t>Iluminación (diseño)</t>
        </is>
      </c>
      <c r="C12" s="4" t="inlineStr">
        <is>
          <t>Plano 01, DXF, cálculo</t>
        </is>
      </c>
      <c r="D12" s="4" t="inlineStr">
        <is>
          <t>Fútbol 9</t>
        </is>
      </c>
      <c r="E12" s="4" t="inlineStr">
        <is>
          <t>Concordancia</t>
        </is>
      </c>
      <c r="F12" s="4" t="inlineStr">
        <is>
          <t>32 proyectores de 480 W en 4 mástiles de 22 m (8 por mástil), 3,84 kW por mástil. Coinciden plano, DXF y cálculo de regulación.</t>
        </is>
      </c>
      <c r="G12" s="4" t="inlineStr">
        <is>
          <t>Plano: 32</t>
        </is>
      </c>
      <c r="H12" s="4" t="inlineStr">
        <is>
          <t>DXF: 32; cálculo: 4 × 3.840 W</t>
        </is>
      </c>
      <c r="I12" s="4" t="inlineStr">
        <is>
          <t>—</t>
        </is>
      </c>
      <c r="J12" s="4" t="inlineStr">
        <is>
          <t>Baja</t>
        </is>
      </c>
      <c r="K12" s="40" t="n"/>
      <c r="L12" s="4" t="inlineStr">
        <is>
          <t>Sin acción.</t>
        </is>
      </c>
      <c r="M12" s="25" t="n"/>
      <c r="N12" s="55" t="n"/>
      <c r="O12" s="25" t="inlineStr">
        <is>
          <t>No aplica</t>
        </is>
      </c>
      <c r="P12" s="55" t="n"/>
      <c r="Q12" s="25" t="n"/>
      <c r="R12" s="25" t="n"/>
    </row>
    <row r="13" ht="28" customHeight="1">
      <c r="A13" s="4" t="inlineStr">
        <is>
          <t>OBS-009</t>
        </is>
      </c>
      <c r="B13" s="4" t="inlineStr">
        <is>
          <t>Iluminación (diseño)</t>
        </is>
      </c>
      <c r="C13" s="4" t="inlineStr">
        <is>
          <t>Excel, plano 01</t>
        </is>
      </c>
      <c r="D13" s="4" t="inlineStr">
        <is>
          <t>IN14.21</t>
        </is>
      </c>
      <c r="E13" s="4" t="inlineStr">
        <is>
          <t>Discrepancia</t>
        </is>
      </c>
      <c r="F13" s="4" t="inlineStr">
        <is>
          <t>El ítem dice capacidad para 10 reflectores a igual precio que el 4.47 retirado (capacidad 8). El diseño usa 8 por mástil.</t>
        </is>
      </c>
      <c r="G13" s="4" t="inlineStr">
        <is>
          <t>Balance: 10 reflectores</t>
        </is>
      </c>
      <c r="H13" s="4" t="inlineStr">
        <is>
          <t>Plano: 8 por mástil</t>
        </is>
      </c>
      <c r="I13" s="4" t="inlineStr">
        <is>
          <t>Contrato</t>
        </is>
      </c>
      <c r="J13" s="4" t="inlineStr">
        <is>
          <t>Media</t>
        </is>
      </c>
      <c r="K13" s="40" t="n"/>
      <c r="L13" s="4" t="inlineStr">
        <is>
          <t>Justificar el cambio de capacidad o corregir la descripción y el valor.</t>
        </is>
      </c>
      <c r="M13" s="25" t="n"/>
      <c r="N13" s="55" t="n"/>
      <c r="O13" s="25" t="inlineStr">
        <is>
          <t>Abierta</t>
        </is>
      </c>
      <c r="P13" s="55" t="n"/>
      <c r="Q13" s="25" t="n"/>
      <c r="R13" s="25" t="n"/>
    </row>
    <row r="14" ht="28" customHeight="1">
      <c r="A14" s="4" t="inlineStr">
        <is>
          <t>OBS-010</t>
        </is>
      </c>
      <c r="B14" s="4" t="inlineStr">
        <is>
          <t>Iluminación (diseño)</t>
        </is>
      </c>
      <c r="C14" s="4" t="inlineStr">
        <is>
          <t>Plano 01, DXF, cálculo, Excel</t>
        </is>
      </c>
      <c r="D14" s="4" t="inlineStr">
        <is>
          <t>IN14.21 / cantidad</t>
        </is>
      </c>
      <c r="E14" s="4" t="inlineStr">
        <is>
          <t>Concordancia</t>
        </is>
      </c>
      <c r="F14" s="4" t="inlineStr">
        <is>
          <t>Cuatro mástiles de 22 m coinciden entre balance, plano, DXF y cálculo.</t>
        </is>
      </c>
      <c r="G14" s="4" t="inlineStr">
        <is>
          <t>Balance: 4</t>
        </is>
      </c>
      <c r="H14" s="4" t="inlineStr">
        <is>
          <t>Plano: 4</t>
        </is>
      </c>
      <c r="I14" s="4" t="inlineStr">
        <is>
          <t>—</t>
        </is>
      </c>
      <c r="J14" s="4" t="inlineStr">
        <is>
          <t>Baja</t>
        </is>
      </c>
      <c r="K14" s="40" t="n"/>
      <c r="L14" s="4" t="inlineStr">
        <is>
          <t>Sin acción.</t>
        </is>
      </c>
      <c r="M14" s="25" t="n"/>
      <c r="N14" s="55" t="n"/>
      <c r="O14" s="25" t="inlineStr">
        <is>
          <t>No aplica</t>
        </is>
      </c>
      <c r="P14" s="55" t="n"/>
      <c r="Q14" s="25" t="n"/>
      <c r="R14" s="25" t="n"/>
    </row>
    <row r="15" ht="42" customHeight="1">
      <c r="A15" s="4" t="inlineStr">
        <is>
          <t>OBS-011</t>
        </is>
      </c>
      <c r="B15" s="4" t="inlineStr">
        <is>
          <t>Iluminación (diseño)</t>
        </is>
      </c>
      <c r="C15" s="4" t="inlineStr">
        <is>
          <t>Excel, plano 02, informe DIALux, cálculo</t>
        </is>
      </c>
      <c r="D15" s="4" t="inlineStr">
        <is>
          <t>IN16.19 / Múltiple y Fútbol 6</t>
        </is>
      </c>
      <c r="E15" s="4" t="inlineStr">
        <is>
          <t>Discrepancia</t>
        </is>
      </c>
      <c r="F15" s="4" t="inlineStr">
        <is>
          <t>El balance incluye 46 proyectores de 450 W. Ningún plano, informe, cálculo ni unifilar los respalda: el plano y el informe muestran 6 × 160 W y el cálculo 18 × 160 W.</t>
        </is>
      </c>
      <c r="G15" s="4" t="inlineStr">
        <is>
          <t>Balance: 46 × 450 W (20,7 kW)</t>
        </is>
      </c>
      <c r="H15" s="4" t="inlineStr">
        <is>
          <t>Plano/informe: 6 × 160 W (0,92 kW)</t>
        </is>
      </c>
      <c r="I15" s="4" t="inlineStr">
        <is>
          <t>Contrato / diseño aprobado</t>
        </is>
      </c>
      <c r="J15" s="4" t="inlineStr">
        <is>
          <t>Alta</t>
        </is>
      </c>
      <c r="K15" s="40">
        <f>Balance_Cantidades!K6</f>
        <v/>
      </c>
      <c r="L15" s="4" t="inlineStr">
        <is>
          <t>Presentar el diseño que respalde 46 proyectores de 450 W o retirar el excedente del balance.</t>
        </is>
      </c>
      <c r="M15" s="25" t="n"/>
      <c r="N15" s="55" t="n"/>
      <c r="O15" s="25" t="inlineStr">
        <is>
          <t>Abierta</t>
        </is>
      </c>
      <c r="P15" s="55" t="n"/>
      <c r="Q15" s="25" t="n"/>
      <c r="R15" s="25" t="n"/>
    </row>
    <row r="16" ht="42" customHeight="1">
      <c r="A16" s="4" t="inlineStr">
        <is>
          <t>OBS-012</t>
        </is>
      </c>
      <c r="B16" s="4" t="inlineStr">
        <is>
          <t>Iluminación (diseño)</t>
        </is>
      </c>
      <c r="C16" s="4" t="inlineStr">
        <is>
          <t>Excel, plano 02, DXF, cálculo, unifilar</t>
        </is>
      </c>
      <c r="D16" s="4" t="inlineStr">
        <is>
          <t>IN14.20 / postes de 12 m</t>
        </is>
      </c>
      <c r="E16" s="4" t="inlineStr">
        <is>
          <t>Discrepancia</t>
        </is>
      </c>
      <c r="F16" s="4" t="inlineStr">
        <is>
          <t>Postes de 12 m con cuatro cifras distintas: balance 8, tabla del plano 4, dibujados 2 (DXF confirma 2 grupos de 3), cálculo 6 y unifilar 2 circuitos.</t>
        </is>
      </c>
      <c r="G16" s="4" t="inlineStr">
        <is>
          <t>Balance: 8</t>
        </is>
      </c>
      <c r="H16" s="4" t="inlineStr">
        <is>
          <t>Plano: 4 (tabla) / 2 (dibujados); cálculo: 6</t>
        </is>
      </c>
      <c r="I16" s="4" t="inlineStr">
        <is>
          <t>Contrato / diseño</t>
        </is>
      </c>
      <c r="J16" s="4" t="inlineStr">
        <is>
          <t>Alta</t>
        </is>
      </c>
      <c r="K16" s="40">
        <f>Balance_Cantidades!K7</f>
        <v/>
      </c>
      <c r="L16" s="4" t="inlineStr">
        <is>
          <t>Unificar el número de postes en todos los documentos y ajustar el balance al diseño aprobado.</t>
        </is>
      </c>
      <c r="M16" s="25" t="n"/>
      <c r="N16" s="55" t="n"/>
      <c r="O16" s="25" t="inlineStr">
        <is>
          <t>Abierta</t>
        </is>
      </c>
      <c r="P16" s="55" t="n"/>
      <c r="Q16" s="25" t="n"/>
      <c r="R16" s="25" t="n"/>
    </row>
    <row r="17" ht="28" customHeight="1">
      <c r="A17" s="4" t="inlineStr">
        <is>
          <t>OBS-013</t>
        </is>
      </c>
      <c r="B17" s="4" t="inlineStr">
        <is>
          <t>Iluminación (diseño)</t>
        </is>
      </c>
      <c r="C17" s="4" t="inlineStr">
        <is>
          <t>Excel</t>
        </is>
      </c>
      <c r="D17" s="4" t="inlineStr">
        <is>
          <t>IN14.20 vs IN16.19</t>
        </is>
      </c>
      <c r="E17" s="4" t="inlineStr">
        <is>
          <t>Discrepancia</t>
        </is>
      </c>
      <c r="F17" s="4" t="inlineStr">
        <is>
          <t>El propio balance es inconsistente: 8 postes × 4 reflectores = 32 de capacidad, pero se compran 46 proyectores.</t>
        </is>
      </c>
      <c r="G17" s="4" t="inlineStr">
        <is>
          <t>Capacidad: 32</t>
        </is>
      </c>
      <c r="H17" s="4" t="inlineStr">
        <is>
          <t>Compra: 46</t>
        </is>
      </c>
      <c r="I17" s="4" t="inlineStr">
        <is>
          <t>Coherencia interna del balance</t>
        </is>
      </c>
      <c r="J17" s="4" t="inlineStr">
        <is>
          <t>Media</t>
        </is>
      </c>
      <c r="K17" s="40" t="n"/>
      <c r="L17" s="4" t="inlineStr">
        <is>
          <t>Corregir cantidades o capacidad.</t>
        </is>
      </c>
      <c r="M17" s="25" t="n"/>
      <c r="N17" s="55" t="n"/>
      <c r="O17" s="25" t="inlineStr">
        <is>
          <t>Abierta</t>
        </is>
      </c>
      <c r="P17" s="55" t="n"/>
      <c r="Q17" s="25" t="n"/>
      <c r="R17" s="25" t="n"/>
    </row>
    <row r="18" ht="42" customHeight="1">
      <c r="A18" s="4" t="inlineStr">
        <is>
          <t>OBS-014</t>
        </is>
      </c>
      <c r="B18" s="4" t="inlineStr">
        <is>
          <t>Balance / Actas</t>
        </is>
      </c>
      <c r="C18" s="4" t="inlineStr">
        <is>
          <t>Excel</t>
        </is>
      </c>
      <c r="D18" s="4" t="inlineStr">
        <is>
          <t>4.44 Orientación</t>
        </is>
      </c>
      <c r="E18" s="4" t="inlineStr">
        <is>
          <t>Discrepancia</t>
        </is>
      </c>
      <c r="F18" s="4" t="inlineStr">
        <is>
          <t>Se pagan 78 orientaciones de proyectores (32 + 46). Criterio de la interventoría: solo corresponden 4, una por mástil de Fútbol (el diseño tiene 38 proyectores).</t>
        </is>
      </c>
      <c r="G18" s="4" t="inlineStr">
        <is>
          <t>Balance: 78</t>
        </is>
      </c>
      <c r="H18" s="4" t="inlineStr">
        <is>
          <t>Interventoría: 4</t>
        </is>
      </c>
      <c r="I18" s="4" t="inlineStr">
        <is>
          <t>Contrato</t>
        </is>
      </c>
      <c r="J18" s="4" t="inlineStr">
        <is>
          <t>Media</t>
        </is>
      </c>
      <c r="K18" s="40">
        <f>Balance_Cantidades!K11</f>
        <v/>
      </c>
      <c r="L18" s="4" t="inlineStr">
        <is>
          <t>Ajustar cantidad de orientaciones.</t>
        </is>
      </c>
      <c r="M18" s="25" t="n"/>
      <c r="N18" s="55" t="n"/>
      <c r="O18" s="25" t="inlineStr">
        <is>
          <t>Abierta</t>
        </is>
      </c>
      <c r="P18" s="55" t="n"/>
      <c r="Q18" s="25" t="n"/>
      <c r="R18" s="25" t="n"/>
    </row>
    <row r="19" ht="42" customHeight="1">
      <c r="A19" s="4" t="inlineStr">
        <is>
          <t>OBS-015</t>
        </is>
      </c>
      <c r="B19" s="4" t="inlineStr">
        <is>
          <t>Balance / Actas</t>
        </is>
      </c>
      <c r="C19" s="4" t="inlineStr">
        <is>
          <t>Excel, plano</t>
        </is>
      </c>
      <c r="D19" s="4" t="inlineStr">
        <is>
          <t>4.29 Apantallamiento</t>
        </is>
      </c>
      <c r="E19" s="4" t="inlineStr">
        <is>
          <t>Discrepancia</t>
        </is>
      </c>
      <c r="F19" s="4" t="inlineStr">
        <is>
          <t>El balance pasa a 10 sistemas de apantallamiento, pero hay 8 postes/mástiles según plano (6 si se cuentan solo 2 postes del múltiple).</t>
        </is>
      </c>
      <c r="G19" s="4" t="inlineStr">
        <is>
          <t>Balance: 10</t>
        </is>
      </c>
      <c r="H19" s="4" t="inlineStr">
        <is>
          <t>Plano: 8</t>
        </is>
      </c>
      <c r="I19" s="4" t="inlineStr">
        <is>
          <t>RETIE vigente: evaluación de riesgo por rayos</t>
        </is>
      </c>
      <c r="J19" s="4" t="inlineStr">
        <is>
          <t>Media</t>
        </is>
      </c>
      <c r="K19" s="40">
        <f>Balance_Cantidades!K12</f>
        <v/>
      </c>
      <c r="L19" s="4" t="inlineStr">
        <is>
          <t>Justificar con evaluación de riesgo por rayos y número real de postes.</t>
        </is>
      </c>
      <c r="M19" s="25" t="n"/>
      <c r="N19" s="55" t="n"/>
      <c r="O19" s="25" t="inlineStr">
        <is>
          <t>Abierta</t>
        </is>
      </c>
      <c r="P19" s="55" t="n"/>
      <c r="Q19" s="25" t="n"/>
      <c r="R19" s="25" t="n"/>
    </row>
    <row r="20" ht="28" customHeight="1">
      <c r="A20" s="4" t="inlineStr">
        <is>
          <t>OBS-016</t>
        </is>
      </c>
      <c r="B20" s="4" t="inlineStr">
        <is>
          <t>Balance / Actas</t>
        </is>
      </c>
      <c r="C20" s="4" t="inlineStr">
        <is>
          <t>Excel, plano</t>
        </is>
      </c>
      <c r="D20" s="4" t="inlineStr">
        <is>
          <t>4.25 Cajas de abonado</t>
        </is>
      </c>
      <c r="E20" s="4" t="inlineStr">
        <is>
          <t>Discrepancia</t>
        </is>
      </c>
      <c r="F20" s="4" t="inlineStr">
        <is>
          <t>El acta pasa de 4 a 10 cajas de abonado. Criterio de la interventoría: deberían ser 12 (4 mástiles + 8 postes). Quedan 2 por debajo.</t>
        </is>
      </c>
      <c r="G20" s="4" t="inlineStr">
        <is>
          <t>Balance: 10</t>
        </is>
      </c>
      <c r="H20" s="4" t="inlineStr">
        <is>
          <t>Interventoría: 12</t>
        </is>
      </c>
      <c r="I20" s="4" t="inlineStr">
        <is>
          <t>Contrato</t>
        </is>
      </c>
      <c r="J20" s="4" t="inlineStr">
        <is>
          <t>Baja</t>
        </is>
      </c>
      <c r="K20" s="40">
        <f>Balance_Cantidades!K13</f>
        <v/>
      </c>
      <c r="L20" s="4" t="inlineStr">
        <is>
          <t>Ajustar a 12 si se confirman 8 postes de 12 m; de lo contrario, conciliar con el plano.</t>
        </is>
      </c>
      <c r="M20" s="25" t="n"/>
      <c r="N20" s="55" t="n"/>
      <c r="O20" s="25" t="inlineStr">
        <is>
          <t>Abierta</t>
        </is>
      </c>
      <c r="P20" s="55" t="n"/>
      <c r="Q20" s="25" t="n"/>
      <c r="R20" s="25" t="n"/>
    </row>
    <row r="21" ht="28" customHeight="1">
      <c r="A21" s="4" t="inlineStr">
        <is>
          <t>OBS-017</t>
        </is>
      </c>
      <c r="B21" s="4" t="inlineStr">
        <is>
          <t>Balance / Actas</t>
        </is>
      </c>
      <c r="C21" s="4" t="inlineStr">
        <is>
          <t>Excel</t>
        </is>
      </c>
      <c r="D21" s="4" t="inlineStr">
        <is>
          <t>Luminaria solar 60 W (sin código)</t>
        </is>
      </c>
      <c r="E21" s="4" t="inlineStr">
        <is>
          <t>Discrepancia</t>
        </is>
      </c>
      <c r="F21" s="4" t="inlineStr">
        <is>
          <t>Se incluyen 30 luminarias solares sin ítem de contrato, sin plano ni diseño, con unidad "UMD".</t>
        </is>
      </c>
      <c r="G21" s="4" t="inlineStr">
        <is>
          <t>Balance: 30</t>
        </is>
      </c>
      <c r="H21" s="4" t="inlineStr">
        <is>
          <t>Planos: 0</t>
        </is>
      </c>
      <c r="I21" s="4" t="inlineStr">
        <is>
          <t>Contrato / procedimiento de ítems nuevos</t>
        </is>
      </c>
      <c r="J21" s="4" t="inlineStr">
        <is>
          <t>Alta</t>
        </is>
      </c>
      <c r="K21" s="40">
        <f>Balance_Cantidades!K9</f>
        <v/>
      </c>
      <c r="L21" s="4" t="inlineStr">
        <is>
          <t>Presentar diseño, ubicación y análisis de precios, o retirar el ítem.</t>
        </is>
      </c>
      <c r="M21" s="25" t="n"/>
      <c r="N21" s="55" t="n"/>
      <c r="O21" s="25" t="inlineStr">
        <is>
          <t>Abierta</t>
        </is>
      </c>
      <c r="P21" s="55" t="n"/>
      <c r="Q21" s="25" t="n"/>
      <c r="R21" s="25" t="n"/>
    </row>
    <row r="22" ht="28" customHeight="1">
      <c r="A22" s="4" t="inlineStr">
        <is>
          <t>OBS-018</t>
        </is>
      </c>
      <c r="B22" s="4" t="inlineStr">
        <is>
          <t>Balance / Actas</t>
        </is>
      </c>
      <c r="C22" s="4" t="inlineStr">
        <is>
          <t>Excel</t>
        </is>
      </c>
      <c r="D22" s="4" t="inlineStr">
        <is>
          <t>Poste solar 5 m (sin código)</t>
        </is>
      </c>
      <c r="E22" s="4" t="inlineStr">
        <is>
          <t>Discrepancia</t>
        </is>
      </c>
      <c r="F22" s="4" t="inlineStr">
        <is>
          <t>Se incluyen 30 postes metálicos de 5 m para luminarias solares sin diseño que los respalde.</t>
        </is>
      </c>
      <c r="G22" s="4" t="inlineStr">
        <is>
          <t>Balance: 30</t>
        </is>
      </c>
      <c r="H22" s="4" t="inlineStr">
        <is>
          <t>Planos: 0</t>
        </is>
      </c>
      <c r="I22" s="4" t="inlineStr">
        <is>
          <t>Contrato</t>
        </is>
      </c>
      <c r="J22" s="4" t="inlineStr">
        <is>
          <t>Alta</t>
        </is>
      </c>
      <c r="K22" s="40">
        <f>Balance_Cantidades!K10</f>
        <v/>
      </c>
      <c r="L22" s="4" t="inlineStr">
        <is>
          <t>Igual que el ítem anterior.</t>
        </is>
      </c>
      <c r="M22" s="25" t="n"/>
      <c r="N22" s="55" t="n"/>
      <c r="O22" s="25" t="inlineStr">
        <is>
          <t>Abierta</t>
        </is>
      </c>
      <c r="P22" s="55" t="n"/>
      <c r="Q22" s="25" t="n"/>
      <c r="R22" s="25" t="n"/>
    </row>
    <row r="23" ht="28" customHeight="1">
      <c r="A23" s="4" t="inlineStr">
        <is>
          <t>OBS-019</t>
        </is>
      </c>
      <c r="B23" s="4" t="inlineStr">
        <is>
          <t>Balance / Actas</t>
        </is>
      </c>
      <c r="C23" s="4" t="inlineStr">
        <is>
          <t>Excel</t>
        </is>
      </c>
      <c r="D23" s="4" t="inlineStr">
        <is>
          <t>Celda J313</t>
        </is>
      </c>
      <c r="E23" s="4" t="inlineStr">
        <is>
          <t>Discrepancia</t>
        </is>
      </c>
      <c r="F23" s="4" t="inlineStr">
        <is>
          <t>La celda J313 (=J308+J307) suma solo los mástiles ($446,1 M) y se presenta como subtotal. No es el total de IN14.</t>
        </is>
      </c>
      <c r="G23" s="4" t="inlineStr">
        <is>
          <t>J313 = 446.074.546</t>
        </is>
      </c>
      <c r="H23" s="4" t="inlineStr">
        <is>
          <t>Suma de líneas IN14 ≈ 1.701 M</t>
        </is>
      </c>
      <c r="I23" s="4" t="inlineStr">
        <is>
          <t>Control de acta</t>
        </is>
      </c>
      <c r="J23" s="4" t="inlineStr">
        <is>
          <t>Media</t>
        </is>
      </c>
      <c r="K23" s="40" t="n"/>
      <c r="L23" s="4" t="inlineStr">
        <is>
          <t>Corregir las fórmulas y presentar un subtotal de IN14 que incluya todas las líneas.</t>
        </is>
      </c>
      <c r="M23" s="25" t="n"/>
      <c r="N23" s="55" t="n"/>
      <c r="O23" s="25" t="inlineStr">
        <is>
          <t>Abierta</t>
        </is>
      </c>
      <c r="P23" s="55" t="n"/>
      <c r="Q23" s="25" t="n"/>
      <c r="R23" s="25" t="n"/>
    </row>
    <row r="24" ht="42" customHeight="1">
      <c r="A24" s="4" t="inlineStr">
        <is>
          <t>OBS-020</t>
        </is>
      </c>
      <c r="B24" s="4" t="inlineStr">
        <is>
          <t>Balance / Actas</t>
        </is>
      </c>
      <c r="C24" s="4" t="inlineStr">
        <is>
          <t>Excel</t>
        </is>
      </c>
      <c r="D24" s="4" t="inlineStr">
        <is>
          <t>Numeración y unidades</t>
        </is>
      </c>
      <c r="E24" s="4" t="inlineStr">
        <is>
          <t>Discrepancia</t>
        </is>
      </c>
      <c r="F24" s="4" t="inlineStr">
        <is>
          <t>IN16.18 e IN16.19 deberían ser IN14.18 e IN14.19. IN14.11 no tiene unidad, IN14.19 tiene la unidad en otra columna, hay un 817,2 suelto en la fila 292 y ítems sin código.</t>
        </is>
      </c>
      <c r="G24" s="4" t="inlineStr">
        <is>
          <t>IN16.x</t>
        </is>
      </c>
      <c r="H24" s="4" t="inlineStr">
        <is>
          <t>IN14.x</t>
        </is>
      </c>
      <c r="I24" s="4" t="inlineStr">
        <is>
          <t>Control de acta</t>
        </is>
      </c>
      <c r="J24" s="4" t="inlineStr">
        <is>
          <t>Baja</t>
        </is>
      </c>
      <c r="K24" s="40" t="n"/>
      <c r="L24" s="4" t="inlineStr">
        <is>
          <t>Corregir codificación y formato del acta.</t>
        </is>
      </c>
      <c r="M24" s="25" t="n"/>
      <c r="N24" s="55" t="n"/>
      <c r="O24" s="25" t="inlineStr">
        <is>
          <t>Abierta</t>
        </is>
      </c>
      <c r="P24" s="55" t="n"/>
      <c r="Q24" s="25" t="n"/>
      <c r="R24" s="25" t="n"/>
    </row>
    <row r="25" ht="28" customHeight="1">
      <c r="A25" s="4" t="inlineStr">
        <is>
          <t>OBS-021</t>
        </is>
      </c>
      <c r="B25" s="4" t="inlineStr">
        <is>
          <t>Balance / Actas</t>
        </is>
      </c>
      <c r="C25" s="4" t="inlineStr">
        <is>
          <t>DXF, Excel</t>
        </is>
      </c>
      <c r="D25" s="4" t="inlineStr">
        <is>
          <t>Postes existentes de 11 m</t>
        </is>
      </c>
      <c r="E25" s="4" t="inlineStr">
        <is>
          <t>Verificar</t>
        </is>
      </c>
      <c r="F25" s="4" t="inlineStr">
        <is>
          <t>El DXF muestra 6 postes existentes de 11 m con cruceta. El ítem 1.4 (desmonte de postes eléctricos) pasa de 9 a 0.</t>
        </is>
      </c>
      <c r="G25" s="4" t="inlineStr">
        <is>
          <t>DXF: 6 existentes</t>
        </is>
      </c>
      <c r="H25" s="4" t="inlineStr">
        <is>
          <t>Balance 1.4: 0</t>
        </is>
      </c>
      <c r="I25" s="4" t="inlineStr">
        <is>
          <t>Contrato</t>
        </is>
      </c>
      <c r="J25" s="4" t="inlineStr">
        <is>
          <t>Media</t>
        </is>
      </c>
      <c r="K25" s="40" t="n"/>
      <c r="L25" s="4" t="inlineStr">
        <is>
          <t>Aclarar qué postes se retiran y cuáles se conservan.</t>
        </is>
      </c>
      <c r="M25" s="25" t="n"/>
      <c r="N25" s="55" t="n"/>
      <c r="O25" s="25" t="inlineStr">
        <is>
          <t>Abierta</t>
        </is>
      </c>
      <c r="P25" s="55" t="n"/>
      <c r="Q25" s="25" t="n"/>
      <c r="R25" s="25" t="n"/>
    </row>
    <row r="26" ht="28" customHeight="1">
      <c r="A26" s="4" t="inlineStr">
        <is>
          <t>OBS-022</t>
        </is>
      </c>
      <c r="B26" s="4" t="inlineStr">
        <is>
          <t>Iluminación (diseño)</t>
        </is>
      </c>
      <c r="C26" s="4" t="inlineStr">
        <is>
          <t>Plano 02, informe DIALux</t>
        </is>
      </c>
      <c r="D26" s="4" t="inlineStr">
        <is>
          <t>Cancha Múltiple</t>
        </is>
      </c>
      <c r="E26" s="4" t="inlineStr">
        <is>
          <t>Concordancia</t>
        </is>
      </c>
      <c r="F26" s="4" t="inlineStr">
        <is>
          <t>6 luminarias de 160 W (153,3 W reales; 919,5 W en total) coinciden entre plano e informe.</t>
        </is>
      </c>
      <c r="G26" s="4" t="inlineStr">
        <is>
          <t>Plano: 6 × 160 W</t>
        </is>
      </c>
      <c r="H26" s="4" t="inlineStr">
        <is>
          <t>Informe: 6 × 153,3 W</t>
        </is>
      </c>
      <c r="I26" s="4" t="inlineStr">
        <is>
          <t>—</t>
        </is>
      </c>
      <c r="J26" s="4" t="inlineStr">
        <is>
          <t>Baja</t>
        </is>
      </c>
      <c r="K26" s="40" t="n"/>
      <c r="L26" s="4" t="inlineStr">
        <is>
          <t>Sin acción.</t>
        </is>
      </c>
      <c r="M26" s="25" t="n"/>
      <c r="N26" s="55" t="n"/>
      <c r="O26" s="25" t="inlineStr">
        <is>
          <t>No aplica</t>
        </is>
      </c>
      <c r="P26" s="55" t="n"/>
      <c r="Q26" s="25" t="n"/>
      <c r="R26" s="25" t="n"/>
    </row>
    <row r="27" ht="28" customHeight="1">
      <c r="A27" s="4" t="inlineStr">
        <is>
          <t>OBS-023</t>
        </is>
      </c>
      <c r="B27" s="4" t="inlineStr">
        <is>
          <t>Iluminación (diseño)</t>
        </is>
      </c>
      <c r="C27" s="4" t="inlineStr">
        <is>
          <t>Informe DIALux</t>
        </is>
      </c>
      <c r="D27" s="4" t="inlineStr">
        <is>
          <t>Múltiple – resultados</t>
        </is>
      </c>
      <c r="E27" s="4" t="inlineStr">
        <is>
          <t>Verificar</t>
        </is>
      </c>
      <c r="F27" s="4" t="inlineStr">
        <is>
          <t>Em = 128 lx, Emin = 63 lx, Emin/Em = 0,49. Cumple un nivel recreativo (referencia EN 12193 Clase III), pero no la Clase II (200 lx, 0,5).</t>
        </is>
      </c>
      <c r="G27" s="4" t="inlineStr">
        <is>
          <t>Em 128 lx</t>
        </is>
      </c>
      <c r="H27" s="4" t="inlineStr">
        <is>
          <t>Requisito del contrato / RETILAP</t>
        </is>
      </c>
      <c r="I27" s="4" t="inlineStr">
        <is>
          <t>RETILAP vigente: tabla de baloncesto y múltiple</t>
        </is>
      </c>
      <c r="J27" s="4" t="inlineStr">
        <is>
          <t>Media</t>
        </is>
      </c>
      <c r="K27" s="40" t="n"/>
      <c r="L27" s="4" t="inlineStr">
        <is>
          <t>Confirmar la categoría exigida por el contrato y demostrar su cumplimiento.</t>
        </is>
      </c>
      <c r="M27" s="25" t="n"/>
      <c r="N27" s="55" t="n"/>
      <c r="O27" s="25" t="inlineStr">
        <is>
          <t>Abierta</t>
        </is>
      </c>
      <c r="P27" s="55" t="n"/>
      <c r="Q27" s="25" t="n"/>
      <c r="R27" s="25" t="n"/>
    </row>
    <row r="28" ht="28" customHeight="1">
      <c r="A28" s="4" t="inlineStr">
        <is>
          <t>OBS-024</t>
        </is>
      </c>
      <c r="B28" s="4" t="inlineStr">
        <is>
          <t>Iluminación (diseño)</t>
        </is>
      </c>
      <c r="C28" s="4" t="inlineStr">
        <is>
          <t>Informe DIALux</t>
        </is>
      </c>
      <c r="D28" s="4" t="inlineStr">
        <is>
          <t>Isolíneas página 8</t>
        </is>
      </c>
      <c r="E28" s="4" t="inlineStr">
        <is>
          <t>Discrepancia</t>
        </is>
      </c>
      <c r="F28" s="4" t="inlineStr">
        <is>
          <t>La distribución es desigual: 180 lx en el centro y 90 lx o menos bajo los aros. Los dos postes están en el centro de las bandas laterales.</t>
        </is>
      </c>
      <c r="G28" s="4" t="inlineStr">
        <is>
          <t>Máx. 204 lx</t>
        </is>
      </c>
      <c r="H28" s="4" t="inlineStr">
        <is>
          <t>Mín. 63 lx bajo los aros</t>
        </is>
      </c>
      <c r="I28" s="4" t="inlineStr">
        <is>
          <t>RETILAP vigente</t>
        </is>
      </c>
      <c r="J28" s="4" t="inlineStr">
        <is>
          <t>Media</t>
        </is>
      </c>
      <c r="K28" s="40" t="n"/>
      <c r="L28" s="4" t="inlineStr">
        <is>
          <t>Optimizar ubicación u orientación o justificar el nivel en zonas de juego.</t>
        </is>
      </c>
      <c r="M28" s="25" t="n"/>
      <c r="N28" s="55" t="n"/>
      <c r="O28" s="25" t="inlineStr">
        <is>
          <t>Abierta</t>
        </is>
      </c>
      <c r="P28" s="55" t="n"/>
      <c r="Q28" s="25" t="n"/>
      <c r="R28" s="25" t="n"/>
    </row>
    <row r="29" ht="42" customHeight="1">
      <c r="A29" s="4" t="inlineStr">
        <is>
          <t>OBS-025</t>
        </is>
      </c>
      <c r="B29" s="4" t="inlineStr">
        <is>
          <t>Iluminación (diseño)</t>
        </is>
      </c>
      <c r="C29" s="4" t="inlineStr">
        <is>
          <t>Informe DIALux</t>
        </is>
      </c>
      <c r="D29" s="4" t="inlineStr">
        <is>
          <t>Datos de planificación</t>
        </is>
      </c>
      <c r="E29" s="4" t="inlineStr">
        <is>
          <t>Información faltante</t>
        </is>
      </c>
      <c r="F29" s="4" t="inlineStr">
        <is>
          <t>El informe no da posición, altura, inclinación ni orientación de las luminarias. El factor de mantenimiento 0,90 es optimista para exterior y no está justificado.</t>
        </is>
      </c>
      <c r="G29" s="4" t="inlineStr">
        <is>
          <t>Mf = 0,90</t>
        </is>
      </c>
      <c r="H29" s="4" t="inlineStr">
        <is>
          <t>Sin tabla de montaje</t>
        </is>
      </c>
      <c r="I29" s="4" t="inlineStr">
        <is>
          <t>RETILAP vigente</t>
        </is>
      </c>
      <c r="J29" s="4" t="inlineStr">
        <is>
          <t>Media</t>
        </is>
      </c>
      <c r="K29" s="40" t="n"/>
      <c r="L29" s="4" t="inlineStr">
        <is>
          <t>Completar el informe con tabla de montaje y justificación del factor de mantenimiento.</t>
        </is>
      </c>
      <c r="M29" s="25" t="n"/>
      <c r="N29" s="55" t="n"/>
      <c r="O29" s="25" t="inlineStr">
        <is>
          <t>Abierta</t>
        </is>
      </c>
      <c r="P29" s="55" t="n"/>
      <c r="Q29" s="25" t="n"/>
      <c r="R29" s="25" t="n"/>
    </row>
    <row r="30" ht="42" customHeight="1">
      <c r="A30" s="4" t="inlineStr">
        <is>
          <t>OBS-026</t>
        </is>
      </c>
      <c r="B30" s="4" t="inlineStr">
        <is>
          <t>Iluminación (diseño)</t>
        </is>
      </c>
      <c r="C30" s="4" t="inlineStr">
        <is>
          <t>Informe DIALux, plano 02</t>
        </is>
      </c>
      <c r="D30" s="4" t="inlineStr">
        <is>
          <t>Designación</t>
        </is>
      </c>
      <c r="E30" s="4" t="inlineStr">
        <is>
          <t>Verificar</t>
        </is>
      </c>
      <c r="F30" s="4" t="inlineStr">
        <is>
          <t>El informe nombra "Exterior High Bay IP66 3-G 160W 60°" y el plano "Proyector STIL LED 3G (2 módulos) 160W". Confirmar que es el mismo producto certificado.</t>
        </is>
      </c>
      <c r="G30" s="4" t="inlineStr">
        <is>
          <t>Informe: High Bay</t>
        </is>
      </c>
      <c r="H30" s="4" t="inlineStr">
        <is>
          <t>Plano: Proyector</t>
        </is>
      </c>
      <c r="I30" s="4" t="inlineStr">
        <is>
          <t>RETILAP vigente: certificación del producto</t>
        </is>
      </c>
      <c r="J30" s="4" t="inlineStr">
        <is>
          <t>Baja</t>
        </is>
      </c>
      <c r="K30" s="40" t="n"/>
      <c r="L30" s="4" t="inlineStr">
        <is>
          <t>Aclarar con ficha técnica y certificado.</t>
        </is>
      </c>
      <c r="M30" s="25" t="n"/>
      <c r="N30" s="55" t="n"/>
      <c r="O30" s="25" t="inlineStr">
        <is>
          <t>Abierta</t>
        </is>
      </c>
      <c r="P30" s="55" t="n"/>
      <c r="Q30" s="25" t="n"/>
      <c r="R30" s="25" t="n"/>
    </row>
    <row r="31" ht="28" customHeight="1">
      <c r="A31" s="4" t="inlineStr">
        <is>
          <t>OBS-027</t>
        </is>
      </c>
      <c r="B31" s="4" t="inlineStr">
        <is>
          <t>Cálculo de regulación</t>
        </is>
      </c>
      <c r="C31" s="4" t="inlineStr">
        <is>
          <t>Cuadro de regulación</t>
        </is>
      </c>
      <c r="D31" s="4" t="inlineStr">
        <is>
          <t>Fórmula ΔV</t>
        </is>
      </c>
      <c r="E31" s="4" t="inlineStr">
        <is>
          <t>Incumplimiento normativo</t>
        </is>
      </c>
      <c r="F31" s="4" t="inlineStr">
        <is>
          <t>La fórmula usa conductividad γ = 56 (cobre) para cables de aluminio S8000 (γ ≈ 35). Las caídas están subestimadas entre un 60 y un 65 %.</t>
        </is>
      </c>
      <c r="G31" s="4" t="inlineStr">
        <is>
          <t>Hoja: γ = 56</t>
        </is>
      </c>
      <c r="H31" s="4" t="inlineStr">
        <is>
          <t>Aluminio: γ ≈ 35</t>
        </is>
      </c>
      <c r="I31" s="4" t="inlineStr">
        <is>
          <t>NTC 2050 Cap. 9 Tabla 9 (resistencia de conductores)</t>
        </is>
      </c>
      <c r="J31" s="4" t="inlineStr">
        <is>
          <t>Alta</t>
        </is>
      </c>
      <c r="K31" s="40" t="n"/>
      <c r="L31" s="4" t="inlineStr">
        <is>
          <t>Recalcular con resistencia del aluminio (incluyendo reactancia) y reemitir el cuadro de regulación.</t>
        </is>
      </c>
      <c r="M31" s="25" t="n"/>
      <c r="N31" s="55" t="n"/>
      <c r="O31" s="25" t="inlineStr">
        <is>
          <t>Abierta</t>
        </is>
      </c>
      <c r="P31" s="55" t="n"/>
      <c r="Q31" s="25" t="n"/>
      <c r="R31" s="25" t="n"/>
    </row>
    <row r="32" ht="28" customHeight="1">
      <c r="A32" s="4" t="inlineStr">
        <is>
          <t>OBS-028</t>
        </is>
      </c>
      <c r="B32" s="4" t="inlineStr">
        <is>
          <t>Cálculo de regulación</t>
        </is>
      </c>
      <c r="C32" s="4" t="inlineStr">
        <is>
          <t>Cuadro de regulación</t>
        </is>
      </c>
      <c r="D32" s="4" t="inlineStr">
        <is>
          <t>Mástil 1</t>
        </is>
      </c>
      <c r="E32" s="4" t="inlineStr">
        <is>
          <t>Incumplimiento normativo</t>
        </is>
      </c>
      <c r="F32" s="4" t="inlineStr">
        <is>
          <t>Se usa S = 68 mm² para el #4 Al (real 21,14 mm²). Recalculado: 4,18 % en el alimentador, frente al 0,81 % reportado y por encima del 3 %.</t>
        </is>
      </c>
      <c r="G32" s="4" t="inlineStr">
        <is>
          <t>Hoja: 0,81 %</t>
        </is>
      </c>
      <c r="H32" s="4" t="inlineStr">
        <is>
          <t>Recalculado: 4,18 %</t>
        </is>
      </c>
      <c r="I32" s="4" t="inlineStr">
        <is>
          <t>NTC 2050 210-19 y 215-2 (3 % / 5 %)</t>
        </is>
      </c>
      <c r="J32" s="4" t="inlineStr">
        <is>
          <t>Alta</t>
        </is>
      </c>
      <c r="K32" s="40" t="n"/>
      <c r="L32" s="4" t="inlineStr">
        <is>
          <t>Aumentar calibre (≥ #2 Al) o reubicar el tablero, y recalcular.</t>
        </is>
      </c>
      <c r="M32" s="25" t="n"/>
      <c r="N32" s="55" t="n"/>
      <c r="O32" s="25" t="inlineStr">
        <is>
          <t>Abierta</t>
        </is>
      </c>
      <c r="P32" s="55" t="n"/>
      <c r="Q32" s="25" t="n"/>
      <c r="R32" s="25" t="n"/>
    </row>
    <row r="33" ht="28" customHeight="1">
      <c r="A33" s="4" t="inlineStr">
        <is>
          <t>OBS-029</t>
        </is>
      </c>
      <c r="B33" s="4" t="inlineStr">
        <is>
          <t>Cálculo de regulación</t>
        </is>
      </c>
      <c r="C33" s="4" t="inlineStr">
        <is>
          <t>Cuadro de regulación</t>
        </is>
      </c>
      <c r="D33" s="4" t="inlineStr">
        <is>
          <t>Mástil 2</t>
        </is>
      </c>
      <c r="E33" s="4" t="inlineStr">
        <is>
          <t>Incumplimiento normativo</t>
        </is>
      </c>
      <c r="F33" s="4" t="inlineStr">
        <is>
          <t>Recalculado con γ de aluminio: 3,44 % (hoja: 2,15 %), por encima del 3 %.</t>
        </is>
      </c>
      <c r="G33" s="4" t="inlineStr">
        <is>
          <t>Hoja: 2,15 %</t>
        </is>
      </c>
      <c r="H33" s="4" t="inlineStr">
        <is>
          <t>Recalculado: 3,44 %</t>
        </is>
      </c>
      <c r="I33" s="4" t="inlineStr">
        <is>
          <t>NTC 2050 210-19 y 215-2</t>
        </is>
      </c>
      <c r="J33" s="4" t="inlineStr">
        <is>
          <t>Alta</t>
        </is>
      </c>
      <c r="K33" s="40" t="n"/>
      <c r="L33" s="4" t="inlineStr">
        <is>
          <t>Igual que Mástil 1.</t>
        </is>
      </c>
      <c r="M33" s="25" t="n"/>
      <c r="N33" s="55" t="n"/>
      <c r="O33" s="25" t="inlineStr">
        <is>
          <t>Abierta</t>
        </is>
      </c>
      <c r="P33" s="55" t="n"/>
      <c r="Q33" s="25" t="n"/>
      <c r="R33" s="25" t="n"/>
    </row>
    <row r="34" ht="28" customHeight="1">
      <c r="A34" s="4" t="inlineStr">
        <is>
          <t>OBS-030</t>
        </is>
      </c>
      <c r="B34" s="4" t="inlineStr">
        <is>
          <t>Cálculo de regulación</t>
        </is>
      </c>
      <c r="C34" s="4" t="inlineStr">
        <is>
          <t>Cuadro de regulación</t>
        </is>
      </c>
      <c r="D34" s="4" t="inlineStr">
        <is>
          <t>Transformador (350 MCM)</t>
        </is>
      </c>
      <c r="E34" s="4" t="inlineStr">
        <is>
          <t>Discrepancia</t>
        </is>
      </c>
      <c r="F34" s="4" t="inlineStr">
        <is>
          <t>Se usa 202 mm² para 350 MCM (la tabla de la misma hoja da 177,34 mm²). Efecto menor (tramo de 15 m).</t>
        </is>
      </c>
      <c r="G34" s="4" t="inlineStr">
        <is>
          <t>Hoja: 202 mm²</t>
        </is>
      </c>
      <c r="H34" s="4" t="inlineStr">
        <is>
          <t>Tabla: 177,34 mm²</t>
        </is>
      </c>
      <c r="I34" s="4" t="inlineStr">
        <is>
          <t>NTC 2050 Cap. 9</t>
        </is>
      </c>
      <c r="J34" s="4" t="inlineStr">
        <is>
          <t>Baja</t>
        </is>
      </c>
      <c r="K34" s="40" t="n"/>
      <c r="L34" s="4" t="inlineStr">
        <is>
          <t>Corregir la sección.</t>
        </is>
      </c>
      <c r="M34" s="25" t="n"/>
      <c r="N34" s="55" t="n"/>
      <c r="O34" s="25" t="inlineStr">
        <is>
          <t>Abierta</t>
        </is>
      </c>
      <c r="P34" s="55" t="n"/>
      <c r="Q34" s="25" t="n"/>
      <c r="R34" s="25" t="n"/>
    </row>
    <row r="35" ht="42" customHeight="1">
      <c r="A35" s="4" t="inlineStr">
        <is>
          <t>OBS-031</t>
        </is>
      </c>
      <c r="B35" s="4" t="inlineStr">
        <is>
          <t>Cálculo de regulación</t>
        </is>
      </c>
      <c r="C35" s="4" t="inlineStr">
        <is>
          <t>Cuadro de regulación, unifilar</t>
        </is>
      </c>
      <c r="D35" s="4" t="inlineStr">
        <is>
          <t>Carga del transformador</t>
        </is>
      </c>
      <c r="E35" s="4" t="inlineStr">
        <is>
          <t>Discrepancia</t>
        </is>
      </c>
      <c r="F35" s="4" t="inlineStr">
        <is>
          <t>La carga del transformador es su capacidad (50000 × 0,9 = 45 kW), no una demanda calculada. La suma real de cargas es 32,2 kW y la reserva rotulada es 14 kW (46,2 kW en total, sobre los 45 kW).</t>
        </is>
      </c>
      <c r="G35" s="4" t="inlineStr">
        <is>
          <t>Hoja: 45 kW</t>
        </is>
      </c>
      <c r="H35" s="4" t="inlineStr">
        <is>
          <t>Suma de cargas: 32,2 kW + 14 kW reserva</t>
        </is>
      </c>
      <c r="I35" s="4" t="inlineStr">
        <is>
          <t>NTC 2050: cálculo de carga; RETIE vigente</t>
        </is>
      </c>
      <c r="J35" s="4" t="inlineStr">
        <is>
          <t>Media</t>
        </is>
      </c>
      <c r="K35" s="40" t="n"/>
      <c r="L35" s="4" t="inlineStr">
        <is>
          <t>Presentar cuadro de cargas con factores de demanda y comprobar la capacidad del transformador.</t>
        </is>
      </c>
      <c r="M35" s="25" t="n"/>
      <c r="N35" s="55" t="n"/>
      <c r="O35" s="25" t="inlineStr">
        <is>
          <t>Abierta</t>
        </is>
      </c>
      <c r="P35" s="55" t="n"/>
      <c r="Q35" s="25" t="n"/>
      <c r="R35" s="25" t="n"/>
    </row>
    <row r="36" ht="28" customHeight="1">
      <c r="A36" s="4" t="inlineStr">
        <is>
          <t>OBS-032</t>
        </is>
      </c>
      <c r="B36" s="4" t="inlineStr">
        <is>
          <t>Cálculo de regulación</t>
        </is>
      </c>
      <c r="C36" s="4" t="inlineStr">
        <is>
          <t>Cuadro de regulación, unifilar</t>
        </is>
      </c>
      <c r="D36" s="4" t="inlineStr">
        <is>
          <t>Postes de 12 m</t>
        </is>
      </c>
      <c r="E36" s="4" t="inlineStr">
        <is>
          <t>Discrepancia</t>
        </is>
      </c>
      <c r="F36" s="4" t="inlineStr">
        <is>
          <t>El cálculo tiene 6 circuitos de postes de 12 m (20 A, 480 W). El unifilar tiene solo 2 circuitos de cancha y el plano 2 o 4 postes.</t>
        </is>
      </c>
      <c r="G36" s="4" t="inlineStr">
        <is>
          <t>Cálculo: 6 circuitos</t>
        </is>
      </c>
      <c r="H36" s="4" t="inlineStr">
        <is>
          <t>Unifilar: 2 circuitos</t>
        </is>
      </c>
      <c r="I36" s="4" t="inlineStr">
        <is>
          <t>Coherencia de diseño</t>
        </is>
      </c>
      <c r="J36" s="4" t="inlineStr">
        <is>
          <t>Alta</t>
        </is>
      </c>
      <c r="K36" s="40" t="n"/>
      <c r="L36" s="4" t="inlineStr">
        <is>
          <t>Unificar cálculo, unifilar y planos.</t>
        </is>
      </c>
      <c r="M36" s="25" t="n"/>
      <c r="N36" s="55" t="n"/>
      <c r="O36" s="25" t="inlineStr">
        <is>
          <t>Abierta</t>
        </is>
      </c>
      <c r="P36" s="55" t="n"/>
      <c r="Q36" s="25" t="n"/>
      <c r="R36" s="25" t="n"/>
    </row>
    <row r="37" ht="42" customHeight="1">
      <c r="A37" s="4" t="inlineStr">
        <is>
          <t>OBS-033</t>
        </is>
      </c>
      <c r="B37" s="4" t="inlineStr">
        <is>
          <t>Cálculo de regulación</t>
        </is>
      </c>
      <c r="C37" s="4" t="inlineStr">
        <is>
          <t>Cálculo, unifilar, DXF, ductería</t>
        </is>
      </c>
      <c r="D37" s="4" t="inlineStr">
        <is>
          <t>Conductor de tierra de mástiles</t>
        </is>
      </c>
      <c r="E37" s="4" t="inlineStr">
        <is>
          <t>Discrepancia</t>
        </is>
      </c>
      <c r="F37" s="4" t="inlineStr">
        <is>
          <t>Unifilar y DXF: tierra #4. Cuadro de regulación: #6. Ductería: #4 en los mástiles 1 a 3 y #6 en el 4.</t>
        </is>
      </c>
      <c r="G37" s="4" t="inlineStr">
        <is>
          <t>Cálculo: #6</t>
        </is>
      </c>
      <c r="H37" s="4" t="inlineStr">
        <is>
          <t>Unifilar/DXF: #4</t>
        </is>
      </c>
      <c r="I37" s="4" t="inlineStr">
        <is>
          <t>NTC 2050 250-122 (tamaño del conductor de puesta a tierra de equipos)</t>
        </is>
      </c>
      <c r="J37" s="4" t="inlineStr">
        <is>
          <t>Media</t>
        </is>
      </c>
      <c r="K37" s="40" t="n"/>
      <c r="L37" s="4" t="inlineStr">
        <is>
          <t>Unificar calibres de tierra.</t>
        </is>
      </c>
      <c r="M37" s="25" t="n"/>
      <c r="N37" s="55" t="n"/>
      <c r="O37" s="25" t="inlineStr">
        <is>
          <t>Abierta</t>
        </is>
      </c>
      <c r="P37" s="55" t="n"/>
      <c r="Q37" s="25" t="n"/>
      <c r="R37" s="25" t="n"/>
    </row>
    <row r="38" ht="28" customHeight="1">
      <c r="A38" s="4" t="inlineStr">
        <is>
          <t>OBS-034</t>
        </is>
      </c>
      <c r="B38" s="4" t="inlineStr">
        <is>
          <t>Cálculo de regulación</t>
        </is>
      </c>
      <c r="C38" s="4" t="inlineStr">
        <is>
          <t>Hoja Ductería</t>
        </is>
      </c>
      <c r="D38" s="4" t="inlineStr">
        <is>
          <t>Columna "Material"</t>
        </is>
      </c>
      <c r="E38" s="4" t="inlineStr">
        <is>
          <t>Discrepancia</t>
        </is>
      </c>
      <c r="F38" s="4" t="inlineStr">
        <is>
          <t>Aparecen "THWN-3" a "THWN-8" por arrastre de fórmula en filas 15 a 20.</t>
        </is>
      </c>
      <c r="G38" s="4" t="inlineStr">
        <is>
          <t>Ductería: THWN-3…8</t>
        </is>
      </c>
      <c r="H38" s="4" t="inlineStr">
        <is>
          <t>Esperado: THWN-2</t>
        </is>
      </c>
      <c r="I38" s="4" t="inlineStr">
        <is>
          <t>Calidad de la memoria</t>
        </is>
      </c>
      <c r="J38" s="4" t="inlineStr">
        <is>
          <t>Baja</t>
        </is>
      </c>
      <c r="K38" s="40" t="n"/>
      <c r="L38" s="4" t="inlineStr">
        <is>
          <t>Corregir.</t>
        </is>
      </c>
      <c r="M38" s="25" t="n"/>
      <c r="N38" s="55" t="n"/>
      <c r="O38" s="25" t="inlineStr">
        <is>
          <t>Abierta</t>
        </is>
      </c>
      <c r="P38" s="55" t="n"/>
      <c r="Q38" s="25" t="n"/>
      <c r="R38" s="25" t="n"/>
    </row>
    <row r="39" ht="42" customHeight="1">
      <c r="A39" s="4" t="inlineStr">
        <is>
          <t>OBS-035</t>
        </is>
      </c>
      <c r="B39" s="4" t="inlineStr">
        <is>
          <t>Tableros y protecciones</t>
        </is>
      </c>
      <c r="C39" s="4" t="inlineStr">
        <is>
          <t>Cuadro de regulación, unifilar</t>
        </is>
      </c>
      <c r="D39" s="4" t="inlineStr">
        <is>
          <t>TB-Camerinos</t>
        </is>
      </c>
      <c r="E39" s="4" t="inlineStr">
        <is>
          <t>Incumplimiento normativo</t>
        </is>
      </c>
      <c r="F39" s="4" t="inlineStr">
        <is>
          <t>La corriente calculada es 40,4 A y la protección es 2 × 40 A: la protección queda por debajo de la corriente de carga (125 % en cargas continuas).</t>
        </is>
      </c>
      <c r="G39" s="4" t="inlineStr">
        <is>
          <t>I = 40,4 A</t>
        </is>
      </c>
      <c r="H39" s="4" t="inlineStr">
        <is>
          <t>Breaker: 40 A</t>
        </is>
      </c>
      <c r="I39" s="4" t="inlineStr">
        <is>
          <t>NTC 2050 210-20 y 215-3</t>
        </is>
      </c>
      <c r="J39" s="4" t="inlineStr">
        <is>
          <t>Media</t>
        </is>
      </c>
      <c r="K39" s="40" t="n"/>
      <c r="L39" s="4" t="inlineStr">
        <is>
          <t>Redimensionar protección y calibre.</t>
        </is>
      </c>
      <c r="M39" s="25" t="n"/>
      <c r="N39" s="55" t="n"/>
      <c r="O39" s="25" t="inlineStr">
        <is>
          <t>Abierta</t>
        </is>
      </c>
      <c r="P39" s="55" t="n"/>
      <c r="Q39" s="25" t="n"/>
      <c r="R39" s="25" t="n"/>
    </row>
    <row r="40" ht="28" customHeight="1">
      <c r="A40" s="4" t="inlineStr">
        <is>
          <t>OBS-036</t>
        </is>
      </c>
      <c r="B40" s="4" t="inlineStr">
        <is>
          <t>Cálculo de regulación</t>
        </is>
      </c>
      <c r="C40" s="4" t="inlineStr">
        <is>
          <t>Excel, cálculo</t>
        </is>
      </c>
      <c r="D40" s="4" t="inlineStr">
        <is>
          <t>IN14.11 alimentador mástiles</t>
        </is>
      </c>
      <c r="E40" s="4" t="inlineStr">
        <is>
          <t>Discrepancia</t>
        </is>
      </c>
      <c r="F40" s="4" t="inlineStr">
        <is>
          <t>El balance cobra 817,2 m y el cálculo da 673 m (incluye altura). El DXF mide unos 576 m (BT-05 sin trazado).</t>
        </is>
      </c>
      <c r="G40" s="4" t="inlineStr">
        <is>
          <t>Balance: 817,2 m</t>
        </is>
      </c>
      <c r="H40" s="4" t="inlineStr">
        <is>
          <t>Cálculo: 673 m</t>
        </is>
      </c>
      <c r="I40" s="4" t="inlineStr">
        <is>
          <t>Contrato</t>
        </is>
      </c>
      <c r="J40" s="4" t="inlineStr">
        <is>
          <t>Media</t>
        </is>
      </c>
      <c r="K40" s="40">
        <f>Balance_Cantidades!K14</f>
        <v/>
      </c>
      <c r="L40" s="4" t="inlineStr">
        <is>
          <t>Presentar plano de recorridos con metrajes por circuito.</t>
        </is>
      </c>
      <c r="M40" s="25" t="n"/>
      <c r="N40" s="55" t="n"/>
      <c r="O40" s="25" t="inlineStr">
        <is>
          <t>Abierta</t>
        </is>
      </c>
      <c r="P40" s="55" t="n"/>
      <c r="Q40" s="25" t="n"/>
      <c r="R40" s="25" t="n"/>
    </row>
    <row r="41" ht="28" customHeight="1">
      <c r="A41" s="4" t="inlineStr">
        <is>
          <t>OBS-037</t>
        </is>
      </c>
      <c r="B41" s="4" t="inlineStr">
        <is>
          <t>Cálculo de regulación</t>
        </is>
      </c>
      <c r="C41" s="4" t="inlineStr">
        <is>
          <t>Excel, cálculo, DXF</t>
        </is>
      </c>
      <c r="D41" s="4" t="inlineStr">
        <is>
          <t>IN14.10 alimentador canchas</t>
        </is>
      </c>
      <c r="E41" s="4" t="inlineStr">
        <is>
          <t>Discrepancia</t>
        </is>
      </c>
      <c r="F41" s="4" t="inlineStr">
        <is>
          <t>El balance cobra 486,8 m y el cálculo da 408 m (el DXF solo muestra unos 196 m).</t>
        </is>
      </c>
      <c r="G41" s="4" t="inlineStr">
        <is>
          <t>Balance: 486,8 m</t>
        </is>
      </c>
      <c r="H41" s="4" t="inlineStr">
        <is>
          <t>Cálculo: 408 m</t>
        </is>
      </c>
      <c r="I41" s="4" t="inlineStr">
        <is>
          <t>Contrato</t>
        </is>
      </c>
      <c r="J41" s="4" t="inlineStr">
        <is>
          <t>Media</t>
        </is>
      </c>
      <c r="K41" s="40">
        <f>Balance_Cantidades!K15</f>
        <v/>
      </c>
      <c r="L41" s="4" t="inlineStr">
        <is>
          <t>Presentar recorridos con metrajes por circuito.</t>
        </is>
      </c>
      <c r="M41" s="25" t="n"/>
      <c r="N41" s="55" t="n"/>
      <c r="O41" s="25" t="inlineStr">
        <is>
          <t>Abierta</t>
        </is>
      </c>
      <c r="P41" s="55" t="n"/>
      <c r="Q41" s="25" t="n"/>
      <c r="R41" s="25" t="n"/>
    </row>
    <row r="42" ht="42" customHeight="1">
      <c r="A42" s="4" t="inlineStr">
        <is>
          <t>OBS-038</t>
        </is>
      </c>
      <c r="B42" s="4" t="inlineStr">
        <is>
          <t>Cálculo de regulación</t>
        </is>
      </c>
      <c r="C42" s="4" t="inlineStr">
        <is>
          <t>Excel, cálculo</t>
        </is>
      </c>
      <c r="D42" s="4" t="inlineStr">
        <is>
          <t>IN14.7 / IN14.8 / IN14.9</t>
        </is>
      </c>
      <c r="E42" s="4" t="inlineStr">
        <is>
          <t>Discrepancia</t>
        </is>
      </c>
      <c r="F42" s="4" t="inlineStr">
        <is>
          <t>Longitudes de acometidas distintas entre balance y cálculo: transformador–TGD 27,6 vs 15 m, garita 64,8 vs 58 m, camerinos 4,8 vs 8 m.</t>
        </is>
      </c>
      <c r="G42" s="4" t="inlineStr">
        <is>
          <t>Balance: 27,6 / 64,8 / 4,8 m</t>
        </is>
      </c>
      <c r="H42" s="4" t="inlineStr">
        <is>
          <t>Cálculo: 15 / 58 / 8 m</t>
        </is>
      </c>
      <c r="I42" s="4" t="inlineStr">
        <is>
          <t>Contrato</t>
        </is>
      </c>
      <c r="J42" s="4" t="inlineStr">
        <is>
          <t>Baja</t>
        </is>
      </c>
      <c r="K42" s="40">
        <f>Balance_Cantidades!K16+Balance_Cantidades!K17</f>
        <v/>
      </c>
      <c r="L42" s="4" t="inlineStr">
        <is>
          <t>Conciliar longitudes con el plano de recorridos.</t>
        </is>
      </c>
      <c r="M42" s="25" t="n"/>
      <c r="N42" s="55" t="n"/>
      <c r="O42" s="25" t="inlineStr">
        <is>
          <t>Abierta</t>
        </is>
      </c>
      <c r="P42" s="55" t="n"/>
      <c r="Q42" s="25" t="n"/>
      <c r="R42" s="25" t="n"/>
    </row>
    <row r="43" ht="28" customHeight="1">
      <c r="A43" s="4" t="inlineStr">
        <is>
          <t>OBS-039</t>
        </is>
      </c>
      <c r="B43" s="4" t="inlineStr">
        <is>
          <t>Unifilar / MT / Medida</t>
        </is>
      </c>
      <c r="C43" s="4" t="inlineStr">
        <is>
          <t>Unifilar</t>
        </is>
      </c>
      <c r="D43" s="4" t="inlineStr">
        <is>
          <t>Punto de conexión</t>
        </is>
      </c>
      <c r="E43" s="4" t="inlineStr">
        <is>
          <t>Información faltante</t>
        </is>
      </c>
      <c r="F43" s="4" t="inlineStr">
        <is>
          <t>El punto de conexión de Afinia figura con tramo, circuito y subestación "PENDIENTE".</t>
        </is>
      </c>
      <c r="G43" s="4" t="inlineStr">
        <is>
          <t>Unifilar: PENDIENTE</t>
        </is>
      </c>
      <c r="H43" s="4" t="inlineStr">
        <is>
          <t>Ítem 4.1 se mantiene</t>
        </is>
      </c>
      <c r="I43" s="4" t="inlineStr">
        <is>
          <t>Requisitos del operador de red</t>
        </is>
      </c>
      <c r="J43" s="4" t="inlineStr">
        <is>
          <t>Alta</t>
        </is>
      </c>
      <c r="K43" s="40" t="n"/>
      <c r="L43" s="4" t="inlineStr">
        <is>
          <t>Entregar la factibilidad aprobada con el punto de conexión definido.</t>
        </is>
      </c>
      <c r="M43" s="25" t="n"/>
      <c r="N43" s="55" t="n"/>
      <c r="O43" s="25" t="inlineStr">
        <is>
          <t>Abierta</t>
        </is>
      </c>
      <c r="P43" s="55" t="n"/>
      <c r="Q43" s="25" t="n"/>
      <c r="R43" s="25" t="n"/>
    </row>
    <row r="44" ht="28" customHeight="1">
      <c r="A44" s="4" t="inlineStr">
        <is>
          <t>OBS-040</t>
        </is>
      </c>
      <c r="B44" s="4" t="inlineStr">
        <is>
          <t>Unifilar / MT / Medida</t>
        </is>
      </c>
      <c r="C44" s="4" t="inlineStr">
        <is>
          <t>Unifilar, Excel</t>
        </is>
      </c>
      <c r="D44" s="4" t="inlineStr">
        <is>
          <t>Transformador 50 kVA</t>
        </is>
      </c>
      <c r="E44" s="4" t="inlineStr">
        <is>
          <t>Discrepancia</t>
        </is>
      </c>
      <c r="F44" s="4" t="inlineStr">
        <is>
          <t>El unifilar muestra transformador tipo poste de 50 kVA. El 4.9 (100 kVA) se retiró y no hay ítem de reemplazo.</t>
        </is>
      </c>
      <c r="G44" s="4" t="inlineStr">
        <is>
          <t>Unifilar: 50 kVA</t>
        </is>
      </c>
      <c r="H44" s="4" t="inlineStr">
        <is>
          <t>Balance: 0</t>
        </is>
      </c>
      <c r="I44" s="4" t="inlineStr">
        <is>
          <t>Contrato</t>
        </is>
      </c>
      <c r="J44" s="4" t="inlineStr">
        <is>
          <t>Alta</t>
        </is>
      </c>
      <c r="K44" s="40">
        <f>Balance_Cantidades!K20</f>
        <v/>
      </c>
      <c r="L44" s="4" t="inlineStr">
        <is>
          <t>Aclarar quién suministra el transformador y, si lo hace el contratista, incluir el ítem.</t>
        </is>
      </c>
      <c r="M44" s="25" t="n"/>
      <c r="N44" s="55" t="n"/>
      <c r="O44" s="25" t="inlineStr">
        <is>
          <t>Abierta</t>
        </is>
      </c>
      <c r="P44" s="55" t="n"/>
      <c r="Q44" s="25" t="n"/>
      <c r="R44" s="25" t="n"/>
    </row>
    <row r="45" ht="28" customHeight="1">
      <c r="A45" s="4" t="inlineStr">
        <is>
          <t>OBS-041</t>
        </is>
      </c>
      <c r="B45" s="4" t="inlineStr">
        <is>
          <t>Unifilar / MT / Medida</t>
        </is>
      </c>
      <c r="C45" s="4" t="inlineStr">
        <is>
          <t>Unifilar, Excel</t>
        </is>
      </c>
      <c r="D45" s="4" t="inlineStr">
        <is>
          <t>Poste EPP007</t>
        </is>
      </c>
      <c r="E45" s="4" t="inlineStr">
        <is>
          <t>Discrepancia</t>
        </is>
      </c>
      <c r="F45" s="4" t="inlineStr">
        <is>
          <t>El unifilar tiene un segundo apoyo (EPP007) para el transformador. El ítem 4.5 de poste de concreto se retiró.</t>
        </is>
      </c>
      <c r="G45" s="4" t="inlineStr">
        <is>
          <t>Unifilar: EPP007</t>
        </is>
      </c>
      <c r="H45" s="4" t="inlineStr">
        <is>
          <t>Balance: 0</t>
        </is>
      </c>
      <c r="I45" s="4" t="inlineStr">
        <is>
          <t>Contrato</t>
        </is>
      </c>
      <c r="J45" s="4" t="inlineStr">
        <is>
          <t>Media</t>
        </is>
      </c>
      <c r="K45" s="40">
        <f>Balance_Cantidades!K21</f>
        <v/>
      </c>
      <c r="L45" s="4" t="inlineStr">
        <is>
          <t>Aclarar el apoyo y su ítem.</t>
        </is>
      </c>
      <c r="M45" s="25" t="n"/>
      <c r="N45" s="55" t="n"/>
      <c r="O45" s="25" t="inlineStr">
        <is>
          <t>Abierta</t>
        </is>
      </c>
      <c r="P45" s="55" t="n"/>
      <c r="Q45" s="25" t="n"/>
      <c r="R45" s="25" t="n"/>
    </row>
    <row r="46" ht="28" customHeight="1">
      <c r="A46" s="4" t="inlineStr">
        <is>
          <t>OBS-042</t>
        </is>
      </c>
      <c r="B46" s="4" t="inlineStr">
        <is>
          <t>Unifilar / MT / Medida</t>
        </is>
      </c>
      <c r="C46" s="4" t="inlineStr">
        <is>
          <t>Unifilar, Excel</t>
        </is>
      </c>
      <c r="D46" s="4" t="inlineStr">
        <is>
          <t>Red MT</t>
        </is>
      </c>
      <c r="E46" s="4" t="inlineStr">
        <is>
          <t>Discrepancia</t>
        </is>
      </c>
      <c r="F46" s="4" t="inlineStr">
        <is>
          <t>Unifilar: conductor 123,3 AAAC. Balance: ACSR 1/0 XLPE ecológico 2H (45 → 137 m). El vano EPP005–EPP007 no está acotado.</t>
        </is>
      </c>
      <c r="G46" s="4" t="inlineStr">
        <is>
          <t>Unifilar: AAAC 123,3</t>
        </is>
      </c>
      <c r="H46" s="4" t="inlineStr">
        <is>
          <t>Balance: ACSR 1/0 XLPE</t>
        </is>
      </c>
      <c r="I46" s="4" t="inlineStr">
        <is>
          <t>Norma del operador de red</t>
        </is>
      </c>
      <c r="J46" s="4" t="inlineStr">
        <is>
          <t>Media</t>
        </is>
      </c>
      <c r="K46" s="40" t="n"/>
      <c r="L46" s="4" t="inlineStr">
        <is>
          <t>Unificar el conductor y acotar los vanos.</t>
        </is>
      </c>
      <c r="M46" s="25" t="n"/>
      <c r="N46" s="55" t="n"/>
      <c r="O46" s="25" t="inlineStr">
        <is>
          <t>Abierta</t>
        </is>
      </c>
      <c r="P46" s="55" t="n"/>
      <c r="Q46" s="25" t="n"/>
      <c r="R46" s="25" t="n"/>
    </row>
    <row r="47" ht="28" customHeight="1">
      <c r="A47" s="4" t="inlineStr">
        <is>
          <t>OBS-043</t>
        </is>
      </c>
      <c r="B47" s="4" t="inlineStr">
        <is>
          <t>Unifilar / MT / Medida</t>
        </is>
      </c>
      <c r="C47" s="4" t="inlineStr">
        <is>
          <t>Unifilar</t>
        </is>
      </c>
      <c r="D47" s="4" t="inlineStr">
        <is>
          <t>Cortacircuitos</t>
        </is>
      </c>
      <c r="E47" s="4" t="inlineStr">
        <is>
          <t>Verificar</t>
        </is>
      </c>
      <c r="F47" s="4" t="inlineStr">
        <is>
          <t>Dos fusibles de 3 A para 50 kVA a 13,2 kV: la corriente nominal es de unos 3,8 A y el fusible queda por debajo.</t>
        </is>
      </c>
      <c r="G47" s="4" t="inlineStr">
        <is>
          <t>Fusible: 3 A</t>
        </is>
      </c>
      <c r="H47" s="4" t="inlineStr">
        <is>
          <t>I nominal: ≈ 3,8 A</t>
        </is>
      </c>
      <c r="I47" s="4" t="inlineStr">
        <is>
          <t>RETIE vigente; norma del operador de red</t>
        </is>
      </c>
      <c r="J47" s="4" t="inlineStr">
        <is>
          <t>Media</t>
        </is>
      </c>
      <c r="K47" s="40" t="n"/>
      <c r="L47" s="4" t="inlineStr">
        <is>
          <t>Verificar la selección del fusible con el operador de red.</t>
        </is>
      </c>
      <c r="M47" s="25" t="n"/>
      <c r="N47" s="55" t="n"/>
      <c r="O47" s="25" t="inlineStr">
        <is>
          <t>Abierta</t>
        </is>
      </c>
      <c r="P47" s="55" t="n"/>
      <c r="Q47" s="25" t="n"/>
      <c r="R47" s="25" t="n"/>
    </row>
    <row r="48" ht="28" customHeight="1">
      <c r="A48" s="4" t="inlineStr">
        <is>
          <t>OBS-044</t>
        </is>
      </c>
      <c r="B48" s="4" t="inlineStr">
        <is>
          <t>Unifilar / MT / Medida</t>
        </is>
      </c>
      <c r="C48" s="4" t="inlineStr">
        <is>
          <t>Unifilar</t>
        </is>
      </c>
      <c r="D48" s="4" t="inlineStr">
        <is>
          <t>Fases en MT</t>
        </is>
      </c>
      <c r="E48" s="4" t="inlineStr">
        <is>
          <t>Discrepancia</t>
        </is>
      </c>
      <c r="F48" s="4" t="inlineStr">
        <is>
          <t>Se dibujan 3 × No.2 Cu hacia el transformador, pero hay 2 fusibles, 2 TC y 2 TP, es decir, un sistema bifásico.</t>
        </is>
      </c>
      <c r="G48" s="4" t="inlineStr">
        <is>
          <t>3 conductores</t>
        </is>
      </c>
      <c r="H48" s="4" t="inlineStr">
        <is>
          <t>2 fusibles, 2 TC, 2 TP</t>
        </is>
      </c>
      <c r="I48" s="4" t="inlineStr">
        <is>
          <t>Coherencia de diseño</t>
        </is>
      </c>
      <c r="J48" s="4" t="inlineStr">
        <is>
          <t>Media</t>
        </is>
      </c>
      <c r="K48" s="40" t="n"/>
      <c r="L48" s="4" t="inlineStr">
        <is>
          <t>Corregir el unifilar.</t>
        </is>
      </c>
      <c r="M48" s="25" t="n"/>
      <c r="N48" s="55" t="n"/>
      <c r="O48" s="25" t="inlineStr">
        <is>
          <t>Abierta</t>
        </is>
      </c>
      <c r="P48" s="55" t="n"/>
      <c r="Q48" s="25" t="n"/>
      <c r="R48" s="25" t="n"/>
    </row>
    <row r="49" ht="28" customHeight="1">
      <c r="A49" s="4" t="inlineStr">
        <is>
          <t>OBS-045</t>
        </is>
      </c>
      <c r="B49" s="4" t="inlineStr">
        <is>
          <t>Tableros y protecciones</t>
        </is>
      </c>
      <c r="C49" s="4" t="inlineStr">
        <is>
          <t>Unifilar</t>
        </is>
      </c>
      <c r="D49" s="4" t="inlineStr">
        <is>
          <t>Barra del tablero general</t>
        </is>
      </c>
      <c r="E49" s="4" t="inlineStr">
        <is>
          <t>Verificar</t>
        </is>
      </c>
      <c r="F49" s="4" t="inlineStr">
        <is>
          <t>Barra de cobre 20 × 3 mm rotulada 323 A, con protección de acometida de 225 A. El valor 323 A no aparece en ningún cálculo.</t>
        </is>
      </c>
      <c r="G49" s="4" t="inlineStr">
        <is>
          <t>Barra: 323 A</t>
        </is>
      </c>
      <c r="H49" s="4" t="inlineStr">
        <is>
          <t>Protección: 225 A</t>
        </is>
      </c>
      <c r="I49" s="4" t="inlineStr">
        <is>
          <t>NTC 2050: capacidad de barras</t>
        </is>
      </c>
      <c r="J49" s="4" t="inlineStr">
        <is>
          <t>Media</t>
        </is>
      </c>
      <c r="K49" s="40" t="n"/>
      <c r="L49" s="4" t="inlineStr">
        <is>
          <t>Aportar certificación del tablero o corregir el rótulo.</t>
        </is>
      </c>
      <c r="M49" s="25" t="n"/>
      <c r="N49" s="55" t="n"/>
      <c r="O49" s="25" t="inlineStr">
        <is>
          <t>Abierta</t>
        </is>
      </c>
      <c r="P49" s="55" t="n"/>
      <c r="Q49" s="25" t="n"/>
      <c r="R49" s="25" t="n"/>
    </row>
    <row r="50" ht="28" customHeight="1">
      <c r="A50" s="4" t="inlineStr">
        <is>
          <t>OBS-046</t>
        </is>
      </c>
      <c r="B50" s="4" t="inlineStr">
        <is>
          <t>Tableros y protecciones</t>
        </is>
      </c>
      <c r="C50" s="4" t="inlineStr">
        <is>
          <t>Unifilar, cálculo, Excel</t>
        </is>
      </c>
      <c r="D50" s="4" t="inlineStr">
        <is>
          <t>TB-Camerinos</t>
        </is>
      </c>
      <c r="E50" s="4" t="inlineStr">
        <is>
          <t>Discrepancia</t>
        </is>
      </c>
      <c r="F50" s="4" t="inlineStr">
        <is>
          <t>Unifilar: 2#8 Cu. Cálculo y balance (IN14.8): Al S8000.</t>
        </is>
      </c>
      <c r="G50" s="4" t="inlineStr">
        <is>
          <t>Unifilar: Cu</t>
        </is>
      </c>
      <c r="H50" s="4" t="inlineStr">
        <is>
          <t>Balance/cálculo: Al</t>
        </is>
      </c>
      <c r="I50" s="4" t="inlineStr">
        <is>
          <t>Coherencia de diseño</t>
        </is>
      </c>
      <c r="J50" s="4" t="inlineStr">
        <is>
          <t>Baja</t>
        </is>
      </c>
      <c r="K50" s="40" t="n"/>
      <c r="L50" s="4" t="inlineStr">
        <is>
          <t>Unificar el material.</t>
        </is>
      </c>
      <c r="M50" s="25" t="n"/>
      <c r="N50" s="55" t="n"/>
      <c r="O50" s="25" t="inlineStr">
        <is>
          <t>Abierta</t>
        </is>
      </c>
      <c r="P50" s="55" t="n"/>
      <c r="Q50" s="25" t="n"/>
      <c r="R50" s="25" t="n"/>
    </row>
    <row r="51" ht="28" customHeight="1">
      <c r="A51" s="4" t="inlineStr">
        <is>
          <t>OBS-047</t>
        </is>
      </c>
      <c r="B51" s="4" t="inlineStr">
        <is>
          <t>Ductería y redes</t>
        </is>
      </c>
      <c r="C51" s="4" t="inlineStr">
        <is>
          <t>Unifilar, ductería</t>
        </is>
      </c>
      <c r="D51" s="4" t="inlineStr">
        <is>
          <t>TB-Garita</t>
        </is>
      </c>
      <c r="E51" s="4" t="inlineStr">
        <is>
          <t>Discrepancia</t>
        </is>
      </c>
      <c r="F51" s="4" t="inlineStr">
        <is>
          <t>Unifilar: ø1". Ductería: ø1¼".</t>
        </is>
      </c>
      <c r="G51" s="4" t="inlineStr">
        <is>
          <t>Unifilar: ø1"</t>
        </is>
      </c>
      <c r="H51" s="4" t="inlineStr">
        <is>
          <t>Ductería: ø1¼"</t>
        </is>
      </c>
      <c r="I51" s="4" t="inlineStr">
        <is>
          <t>Coherencia de diseño</t>
        </is>
      </c>
      <c r="J51" s="4" t="inlineStr">
        <is>
          <t>Baja</t>
        </is>
      </c>
      <c r="K51" s="40" t="n"/>
      <c r="L51" s="4" t="inlineStr">
        <is>
          <t>Unificar el diámetro.</t>
        </is>
      </c>
      <c r="M51" s="25" t="n"/>
      <c r="N51" s="55" t="n"/>
      <c r="O51" s="25" t="inlineStr">
        <is>
          <t>Abierta</t>
        </is>
      </c>
      <c r="P51" s="55" t="n"/>
      <c r="Q51" s="25" t="n"/>
      <c r="R51" s="25" t="n"/>
    </row>
    <row r="52" ht="28" customHeight="1">
      <c r="A52" s="4" t="inlineStr">
        <is>
          <t>OBS-048</t>
        </is>
      </c>
      <c r="B52" s="4" t="inlineStr">
        <is>
          <t>Tableros y protecciones</t>
        </is>
      </c>
      <c r="C52" s="4" t="inlineStr">
        <is>
          <t>Unifilar, Excel</t>
        </is>
      </c>
      <c r="D52" s="4" t="inlineStr">
        <is>
          <t>DPS</t>
        </is>
      </c>
      <c r="E52" s="4" t="inlineStr">
        <is>
          <t>Discrepancia</t>
        </is>
      </c>
      <c r="F52" s="4" t="inlineStr">
        <is>
          <t>El unifilar tiene 3 DPS en MT, 3 en el transformador y 1 en el tablero general. El balance no tiene ítem de DPS en BT.</t>
        </is>
      </c>
      <c r="G52" s="4" t="inlineStr">
        <is>
          <t>Unifilar: 7</t>
        </is>
      </c>
      <c r="H52" s="4" t="inlineStr">
        <is>
          <t>Balance: 0</t>
        </is>
      </c>
      <c r="I52" s="4" t="inlineStr">
        <is>
          <t>RETIE vigente</t>
        </is>
      </c>
      <c r="J52" s="4" t="inlineStr">
        <is>
          <t>Media</t>
        </is>
      </c>
      <c r="K52" s="40">
        <f>Balance_Cantidades!K22</f>
        <v/>
      </c>
      <c r="L52" s="4" t="inlineStr">
        <is>
          <t>Incluir el ítem o aclarar su inclusión en otros.</t>
        </is>
      </c>
      <c r="M52" s="25" t="n"/>
      <c r="N52" s="55" t="n"/>
      <c r="O52" s="25" t="inlineStr">
        <is>
          <t>Abierta</t>
        </is>
      </c>
      <c r="P52" s="55" t="n"/>
      <c r="Q52" s="25" t="n"/>
      <c r="R52" s="25" t="n"/>
    </row>
    <row r="53" ht="42" customHeight="1">
      <c r="A53" s="4" t="inlineStr">
        <is>
          <t>OBS-049</t>
        </is>
      </c>
      <c r="B53" s="4" t="inlineStr">
        <is>
          <t>Tableros y protecciones</t>
        </is>
      </c>
      <c r="C53" s="4" t="inlineStr">
        <is>
          <t>Excel, unifilar</t>
        </is>
      </c>
      <c r="D53" s="4" t="inlineStr">
        <is>
          <t>4.22 vs IN14.12 a IN14.15</t>
        </is>
      </c>
      <c r="E53" s="4" t="inlineStr">
        <is>
          <t>Verificar</t>
        </is>
      </c>
      <c r="F53" s="4" t="inlineStr">
        <is>
          <t>El 4.22 ($49,8 M) es el tablero general "según unifilar". Los breakers 2×30 A y 2×40 A de IN14.14 e IN14.15 podrían estar ya incluidos en él (posible doble cobro).</t>
        </is>
      </c>
      <c r="G53" s="4" t="inlineStr">
        <is>
          <t>4.22: tablero según unifilar</t>
        </is>
      </c>
      <c r="H53" s="4" t="inlineStr">
        <is>
          <t>IN14.14/15: 3 breakers</t>
        </is>
      </c>
      <c r="I53" s="4" t="inlineStr">
        <is>
          <t>Control de acta</t>
        </is>
      </c>
      <c r="J53" s="4" t="inlineStr">
        <is>
          <t>Alta</t>
        </is>
      </c>
      <c r="K53" s="40">
        <f>Balance_Cantidades!K19</f>
        <v/>
      </c>
      <c r="L53" s="4" t="inlineStr">
        <is>
          <t>Presentar el APU de 4.22 y descartar duplicidades.</t>
        </is>
      </c>
      <c r="M53" s="25" t="n"/>
      <c r="N53" s="55" t="n"/>
      <c r="O53" s="25" t="inlineStr">
        <is>
          <t>Abierta</t>
        </is>
      </c>
      <c r="P53" s="55" t="n"/>
      <c r="Q53" s="25" t="n"/>
      <c r="R53" s="25" t="n"/>
    </row>
    <row r="54" ht="28" customHeight="1">
      <c r="A54" s="4" t="inlineStr">
        <is>
          <t>OBS-050</t>
        </is>
      </c>
      <c r="B54" s="4" t="inlineStr">
        <is>
          <t>Unifilar / MT / Medida</t>
        </is>
      </c>
      <c r="C54" s="4" t="inlineStr">
        <is>
          <t>Unifilar, Excel</t>
        </is>
      </c>
      <c r="D54" s="4" t="inlineStr">
        <is>
          <t>Acometida 2×350 MCM Al</t>
        </is>
      </c>
      <c r="E54" s="4" t="inlineStr">
        <is>
          <t>Concordancia</t>
        </is>
      </c>
      <c r="F54" s="4" t="inlineStr">
        <is>
          <t>Acometida del transformador al tablero general: unifilar, cálculo e IN14.7 coinciden en calibre.</t>
        </is>
      </c>
      <c r="G54" s="4" t="inlineStr">
        <is>
          <t>Unifilar: 2×350 MCM Al</t>
        </is>
      </c>
      <c r="H54" s="4" t="inlineStr">
        <is>
          <t>IN14.7: 2×350 MCM Al</t>
        </is>
      </c>
      <c r="I54" s="4" t="inlineStr">
        <is>
          <t>—</t>
        </is>
      </c>
      <c r="J54" s="4" t="inlineStr">
        <is>
          <t>Baja</t>
        </is>
      </c>
      <c r="K54" s="40" t="n"/>
      <c r="L54" s="4" t="inlineStr">
        <is>
          <t>Sin acción.</t>
        </is>
      </c>
      <c r="M54" s="25" t="n"/>
      <c r="N54" s="55" t="n"/>
      <c r="O54" s="25" t="inlineStr">
        <is>
          <t>No aplica</t>
        </is>
      </c>
      <c r="P54" s="55" t="n"/>
      <c r="Q54" s="25" t="n"/>
      <c r="R54" s="25" t="n"/>
    </row>
    <row r="55" ht="28" customHeight="1">
      <c r="A55" s="4" t="inlineStr">
        <is>
          <t>OBS-051</t>
        </is>
      </c>
      <c r="B55" s="4" t="inlineStr">
        <is>
          <t>Unifilar / MT / Medida</t>
        </is>
      </c>
      <c r="C55" s="4" t="inlineStr">
        <is>
          <t>Unifilar, Excel</t>
        </is>
      </c>
      <c r="D55" s="4" t="inlineStr">
        <is>
          <t>Medida indirecta</t>
        </is>
      </c>
      <c r="E55" s="4" t="inlineStr">
        <is>
          <t>Concordancia</t>
        </is>
      </c>
      <c r="F55" s="4" t="inlineStr">
        <is>
          <t>Equipo de medida con 2 TC y 2 TP coincide con IN14.22 (medida indirecta). El 4.49 semidirecta se retiró.</t>
        </is>
      </c>
      <c r="G55" s="4" t="inlineStr">
        <is>
          <t>Unifilar: TC/TP</t>
        </is>
      </c>
      <c r="H55" s="4" t="inlineStr">
        <is>
          <t>IN14.22</t>
        </is>
      </c>
      <c r="I55" s="4" t="inlineStr">
        <is>
          <t>—</t>
        </is>
      </c>
      <c r="J55" s="4" t="inlineStr">
        <is>
          <t>Baja</t>
        </is>
      </c>
      <c r="K55" s="40" t="n"/>
      <c r="L55" s="4" t="inlineStr">
        <is>
          <t>Sin acción.</t>
        </is>
      </c>
      <c r="M55" s="25" t="n"/>
      <c r="N55" s="55" t="n"/>
      <c r="O55" s="25" t="inlineStr">
        <is>
          <t>No aplica</t>
        </is>
      </c>
      <c r="P55" s="55" t="n"/>
      <c r="Q55" s="25" t="n"/>
      <c r="R55" s="25" t="n"/>
    </row>
    <row r="56" ht="28" customHeight="1">
      <c r="A56" s="4" t="inlineStr">
        <is>
          <t>OBS-052</t>
        </is>
      </c>
      <c r="B56" s="4" t="inlineStr">
        <is>
          <t>Ductería y redes</t>
        </is>
      </c>
      <c r="C56" s="4" t="inlineStr">
        <is>
          <t>Unifilar, DXF, cálculo, Excel</t>
        </is>
      </c>
      <c r="D56" s="4" t="inlineStr">
        <is>
          <t>Alimentadores de mástiles</t>
        </is>
      </c>
      <c r="E56" s="4" t="inlineStr">
        <is>
          <t>Concordancia</t>
        </is>
      </c>
      <c r="F56" s="4" t="inlineStr">
        <is>
          <t>Calibre #4 Al y ductería ø1½" coinciden entre unifilar, DXF y cálculo, y con IN14.5 y IN14.11.</t>
        </is>
      </c>
      <c r="G56" s="4" t="inlineStr">
        <is>
          <t>Unifilar: 2#4 Al ø1½"</t>
        </is>
      </c>
      <c r="H56" s="4" t="inlineStr">
        <is>
          <t>DXF: ídem</t>
        </is>
      </c>
      <c r="I56" s="4" t="inlineStr">
        <is>
          <t>—</t>
        </is>
      </c>
      <c r="J56" s="4" t="inlineStr">
        <is>
          <t>Baja</t>
        </is>
      </c>
      <c r="K56" s="40" t="n"/>
      <c r="L56" s="4" t="inlineStr">
        <is>
          <t>Sin acción.</t>
        </is>
      </c>
      <c r="M56" s="25" t="n"/>
      <c r="N56" s="55" t="n"/>
      <c r="O56" s="25" t="inlineStr">
        <is>
          <t>No aplica</t>
        </is>
      </c>
      <c r="P56" s="55" t="n"/>
      <c r="Q56" s="25" t="n"/>
      <c r="R56" s="25" t="n"/>
    </row>
    <row r="57" ht="28" customHeight="1">
      <c r="A57" s="4" t="inlineStr">
        <is>
          <t>OBS-053</t>
        </is>
      </c>
      <c r="B57" s="4" t="inlineStr">
        <is>
          <t>Puesta a tierra</t>
        </is>
      </c>
      <c r="C57" s="4" t="inlineStr">
        <is>
          <t>Unifilar, Excel</t>
        </is>
      </c>
      <c r="D57" s="4" t="inlineStr">
        <is>
          <t>SPT</t>
        </is>
      </c>
      <c r="E57" s="4" t="inlineStr">
        <is>
          <t>Concordancia</t>
        </is>
      </c>
      <c r="F57" s="4" t="inlineStr">
        <is>
          <t>Se mantienen 4.7 (SPT transformador y MT, 2 unidades) y se añade IN14.16 (malla 5 × 5 m); el 4.28 retirado no se duplica.</t>
        </is>
      </c>
      <c r="G57" s="4" t="inlineStr">
        <is>
          <t>Balance: 4.7 + IN14.16</t>
        </is>
      </c>
      <c r="H57" s="4" t="inlineStr">
        <is>
          <t>Unifilar: SPT</t>
        </is>
      </c>
      <c r="I57" s="4" t="inlineStr">
        <is>
          <t>RETIE vigente: sistema de puesta a tierra</t>
        </is>
      </c>
      <c r="J57" s="4" t="inlineStr">
        <is>
          <t>Baja</t>
        </is>
      </c>
      <c r="K57" s="40" t="n"/>
      <c r="L57" s="4" t="inlineStr">
        <is>
          <t>Entregar medición de resistencia de puesta a tierra.</t>
        </is>
      </c>
      <c r="M57" s="25" t="n"/>
      <c r="N57" s="55" t="n"/>
      <c r="O57" s="25" t="inlineStr">
        <is>
          <t>No aplica</t>
        </is>
      </c>
      <c r="P57" s="55" t="n"/>
      <c r="Q57" s="25" t="n"/>
      <c r="R57" s="25" t="n"/>
    </row>
    <row r="58" ht="42" customHeight="1">
      <c r="A58" s="4" t="inlineStr">
        <is>
          <t>OBS-054</t>
        </is>
      </c>
      <c r="B58" s="4" t="inlineStr">
        <is>
          <t>Unifilar / MT / Medida</t>
        </is>
      </c>
      <c r="C58" s="4" t="inlineStr">
        <is>
          <t>Unifilar, cálculo</t>
        </is>
      </c>
      <c r="D58" s="4" t="inlineStr">
        <is>
          <t>Cargas por circuito</t>
        </is>
      </c>
      <c r="E58" s="4" t="inlineStr">
        <is>
          <t>Verificar</t>
        </is>
      </c>
      <c r="F58" s="4" t="inlineStr">
        <is>
          <t>El unifilar parece rotular ≈2,76 kW por mástil (lectura borrosa), y el cálculo y el plano dan 3,84 kW (8 × 480 W). Fútbol 6 ≈1,7 kW y Múltiple ≈0,96 kW.</t>
        </is>
      </c>
      <c r="G58" s="4" t="inlineStr">
        <is>
          <t>Unifilar: ≈2,76 kW</t>
        </is>
      </c>
      <c r="H58" s="4" t="inlineStr">
        <is>
          <t>Cálculo: 3,84 kW</t>
        </is>
      </c>
      <c r="I58" s="4" t="inlineStr">
        <is>
          <t>Coherencia de diseño</t>
        </is>
      </c>
      <c r="J58" s="4" t="inlineStr">
        <is>
          <t>Media</t>
        </is>
      </c>
      <c r="K58" s="40" t="n"/>
      <c r="L58" s="4" t="inlineStr">
        <is>
          <t>Entregar el unifilar editable y unificar las cargas.</t>
        </is>
      </c>
      <c r="M58" s="25" t="n"/>
      <c r="N58" s="55" t="n"/>
      <c r="O58" s="25" t="inlineStr">
        <is>
          <t>Abierta</t>
        </is>
      </c>
      <c r="P58" s="55" t="n"/>
      <c r="Q58" s="25" t="n"/>
      <c r="R58" s="25" t="n"/>
    </row>
    <row r="59" ht="28" customHeight="1">
      <c r="A59" s="4" t="inlineStr">
        <is>
          <t>OBS-055</t>
        </is>
      </c>
      <c r="B59" s="4" t="inlineStr">
        <is>
          <t>Documentación</t>
        </is>
      </c>
      <c r="C59" s="4" t="inlineStr">
        <is>
          <t>DXF</t>
        </is>
      </c>
      <c r="D59" s="4" t="inlineStr">
        <is>
          <t>Capa "mástil 16 metros"</t>
        </is>
      </c>
      <c r="E59" s="4" t="inlineStr">
        <is>
          <t>Discrepancia</t>
        </is>
      </c>
      <c r="F59" s="4" t="inlineStr">
        <is>
          <t>La capa se llama "mástil 16 metros" pero los rótulos dicen 22 m.</t>
        </is>
      </c>
      <c r="G59" s="4" t="inlineStr">
        <is>
          <t>Capa: 16 m</t>
        </is>
      </c>
      <c r="H59" s="4" t="inlineStr">
        <is>
          <t>Rótulo: 22 m</t>
        </is>
      </c>
      <c r="I59" s="4" t="inlineStr">
        <is>
          <t>Calidad del plano</t>
        </is>
      </c>
      <c r="J59" s="4" t="inlineStr">
        <is>
          <t>Baja</t>
        </is>
      </c>
      <c r="K59" s="40" t="n"/>
      <c r="L59" s="4" t="inlineStr">
        <is>
          <t>Corregir el DXF.</t>
        </is>
      </c>
      <c r="M59" s="25" t="n"/>
      <c r="N59" s="55" t="n"/>
      <c r="O59" s="25" t="inlineStr">
        <is>
          <t>Abierta</t>
        </is>
      </c>
      <c r="P59" s="55" t="n"/>
      <c r="Q59" s="25" t="n"/>
      <c r="R59" s="25" t="n"/>
    </row>
    <row r="60" ht="56" customHeight="1">
      <c r="A60" s="4" t="inlineStr">
        <is>
          <t>OBS-056</t>
        </is>
      </c>
      <c r="B60" s="4" t="inlineStr">
        <is>
          <t>Ductería y redes</t>
        </is>
      </c>
      <c r="C60" s="4" t="inlineStr">
        <is>
          <t>Excel (Cap. 4 e IN14), DXF</t>
        </is>
      </c>
      <c r="D60" s="4" t="inlineStr">
        <is>
          <t>4.10 y 4.11 vs IN14.4 a IN14.6</t>
        </is>
      </c>
      <c r="E60" s="4" t="inlineStr">
        <is>
          <t>Verificar</t>
        </is>
      </c>
      <c r="F60" s="4" t="inlineStr">
        <is>
          <t>IN14 se titula "canalizaciones y excavación" y suma 1.028 m de bancos de ducto, mientras 4.10 y 4.11 siguen con 792 m de excavación y relleno de zanja. Posible duplicidad; valor en riesgo $132,1 M.</t>
        </is>
      </c>
      <c r="G60" s="4" t="inlineStr">
        <is>
          <t>4.10 + 4.11: 792 m</t>
        </is>
      </c>
      <c r="H60" s="4" t="inlineStr">
        <is>
          <t>IN14.4 a IN14.6: 1.028 m</t>
        </is>
      </c>
      <c r="I60" s="4" t="inlineStr">
        <is>
          <t>Control de acta</t>
        </is>
      </c>
      <c r="J60" s="4" t="inlineStr">
        <is>
          <t>Alta</t>
        </is>
      </c>
      <c r="K60" s="40" t="n"/>
      <c r="L60" s="4" t="inlineStr">
        <is>
          <t>Presentar APU de IN14.4 a IN14.6 y plano de zanjas. Descartar duplicidad de excavación y relleno.</t>
        </is>
      </c>
      <c r="M60" s="25" t="n"/>
      <c r="N60" s="55" t="n"/>
      <c r="O60" s="25" t="inlineStr">
        <is>
          <t>Abierta</t>
        </is>
      </c>
      <c r="P60" s="55" t="n"/>
      <c r="Q60" s="25" t="n"/>
      <c r="R60" s="25" t="n"/>
    </row>
    <row r="61" ht="42" customHeight="1">
      <c r="A61" s="4" t="inlineStr">
        <is>
          <t>OBS-057</t>
        </is>
      </c>
      <c r="B61" s="4" t="inlineStr">
        <is>
          <t>Ductería y redes</t>
        </is>
      </c>
      <c r="C61" s="4" t="inlineStr">
        <is>
          <t>Excel</t>
        </is>
      </c>
      <c r="D61" s="4" t="inlineStr">
        <is>
          <t>Cimentación de mástiles y postes</t>
        </is>
      </c>
      <c r="E61" s="4" t="inlineStr">
        <is>
          <t>Discrepancia</t>
        </is>
      </c>
      <c r="F61" s="4" t="inlineStr">
        <is>
          <t>Las zapatas (4.48) se retiraron y IN14.20 e IN14.21 no incluyen cimentación. No hay ítem para zapata, pedestal y pernos de anclaje de 4 mástiles de 22 m ni de los postes de 12 m.</t>
        </is>
      </c>
      <c r="G61" s="4" t="inlineStr">
        <is>
          <t>Acta: sin cimentación</t>
        </is>
      </c>
      <c r="H61" s="4" t="inlineStr">
        <is>
          <t>Necesario para mástiles</t>
        </is>
      </c>
      <c r="I61" s="4" t="inlineStr">
        <is>
          <t>RETIE vigente; diseño estructural</t>
        </is>
      </c>
      <c r="J61" s="4" t="inlineStr">
        <is>
          <t>Alta</t>
        </is>
      </c>
      <c r="K61" s="40" t="n"/>
      <c r="L61" s="4" t="inlineStr">
        <is>
          <t>Crear el ítem con diseño estructural, o demostrar que está incluido en IN14.20 e IN14.21.</t>
        </is>
      </c>
      <c r="M61" s="25" t="n"/>
      <c r="N61" s="55" t="n"/>
      <c r="O61" s="25" t="inlineStr">
        <is>
          <t>Abierta</t>
        </is>
      </c>
      <c r="P61" s="55" t="n"/>
      <c r="Q61" s="25" t="n"/>
      <c r="R61" s="25" t="n"/>
    </row>
    <row r="62" ht="28" customHeight="1">
      <c r="A62" s="4" t="inlineStr">
        <is>
          <t>OBS-058</t>
        </is>
      </c>
      <c r="B62" s="4" t="inlineStr">
        <is>
          <t>Balance / Actas</t>
        </is>
      </c>
      <c r="C62" s="4" t="inlineStr">
        <is>
          <t>Excel, DXF</t>
        </is>
      </c>
      <c r="D62" s="4" t="inlineStr">
        <is>
          <t>4.36 Salida luminaria 220 V</t>
        </is>
      </c>
      <c r="E62" s="4" t="inlineStr">
        <is>
          <t>Verificar</t>
        </is>
      </c>
      <c r="F62" s="4" t="inlineStr">
        <is>
          <t>El acta mantiene 42 salidas de luminaria 220 V. Las 50 luminarias del DXF ya están en 4.30 (45) y 4.31 (5). Valor en riesgo: $10,98 M.</t>
        </is>
      </c>
      <c r="G62" s="4" t="inlineStr">
        <is>
          <t>Acta: 42</t>
        </is>
      </c>
      <c r="H62" s="4" t="inlineStr">
        <is>
          <t>DXF: sin salidas adicionales</t>
        </is>
      </c>
      <c r="I62" s="4" t="inlineStr">
        <is>
          <t>Control de acta</t>
        </is>
      </c>
      <c r="J62" s="4" t="inlineStr">
        <is>
          <t>Media</t>
        </is>
      </c>
      <c r="K62" s="40" t="n"/>
      <c r="L62" s="4" t="inlineStr">
        <is>
          <t>Justificar con plano de localización o retirar.</t>
        </is>
      </c>
      <c r="M62" s="25" t="n"/>
      <c r="N62" s="55" t="n"/>
      <c r="O62" s="25" t="inlineStr">
        <is>
          <t>Abierta</t>
        </is>
      </c>
      <c r="P62" s="55" t="n"/>
      <c r="Q62" s="25" t="n"/>
      <c r="R62" s="25" t="n"/>
    </row>
    <row r="63" ht="42" customHeight="1">
      <c r="A63" s="4" t="inlineStr">
        <is>
          <t>OBS-059</t>
        </is>
      </c>
      <c r="B63" s="4" t="inlineStr">
        <is>
          <t>Balance / Actas</t>
        </is>
      </c>
      <c r="C63" s="4" t="inlineStr">
        <is>
          <t>Excel, DXF</t>
        </is>
      </c>
      <c r="D63" s="4" t="inlineStr">
        <is>
          <t>Salidas, tomas, interruptores y luminarias interiores</t>
        </is>
      </c>
      <c r="E63" s="4" t="inlineStr">
        <is>
          <t>Concordancia</t>
        </is>
      </c>
      <c r="F63" s="4" t="inlineStr">
        <is>
          <t>Coinciden con el DXF: 4.30 (45), 4.31 (5), 4.32 (11), 4.33 (13), 4.34 (7), 4.35 (1), 4.37 (7), 4.38 (38) e IN14.17 (3). El DXF muestra tubos fluorescentes 2×18 mientras 4.38 describe LED 70 W.</t>
        </is>
      </c>
      <c r="G63" s="4" t="inlineStr">
        <is>
          <t>Acta</t>
        </is>
      </c>
      <c r="H63" s="4" t="inlineStr">
        <is>
          <t>DXF</t>
        </is>
      </c>
      <c r="I63" s="4" t="inlineStr">
        <is>
          <t>—</t>
        </is>
      </c>
      <c r="J63" s="4" t="inlineStr">
        <is>
          <t>Baja</t>
        </is>
      </c>
      <c r="K63" s="40" t="n"/>
      <c r="L63" s="4" t="inlineStr">
        <is>
          <t>Confirmar tipo de luminaria hermética.</t>
        </is>
      </c>
      <c r="M63" s="25" t="n"/>
      <c r="N63" s="55" t="n"/>
      <c r="O63" s="25" t="inlineStr">
        <is>
          <t>No aplica</t>
        </is>
      </c>
      <c r="P63" s="55" t="n"/>
      <c r="Q63" s="25" t="n"/>
      <c r="R63" s="25" t="n"/>
    </row>
    <row r="64" ht="28" customHeight="1">
      <c r="A64" s="4" t="inlineStr">
        <is>
          <t>OBS-060</t>
        </is>
      </c>
      <c r="B64" s="4" t="inlineStr">
        <is>
          <t>Ductería y redes</t>
        </is>
      </c>
      <c r="C64" s="4" t="inlineStr">
        <is>
          <t>Excel, DXF</t>
        </is>
      </c>
      <c r="D64" s="4" t="inlineStr">
        <is>
          <t>4.50 a 4.52 Registros eléctricos</t>
        </is>
      </c>
      <c r="E64" s="4" t="inlineStr">
        <is>
          <t>Discrepancia</t>
        </is>
      </c>
      <c r="F64" s="4" t="inlineStr">
        <is>
          <t>El DXF muestra 20 registros de 40×40 BT y 1 de MT. El acta tiene 15 de 40×40, 14 de 60×60 y 3 de 80×80 (valor 60×60 y 80×80: $19,8 M).</t>
        </is>
      </c>
      <c r="G64" s="4" t="inlineStr">
        <is>
          <t>Acta: 15 / 14 / 3</t>
        </is>
      </c>
      <c r="H64" s="4" t="inlineStr">
        <is>
          <t>DXF: 20 de 40×40</t>
        </is>
      </c>
      <c r="I64" s="4" t="inlineStr">
        <is>
          <t>Control de acta</t>
        </is>
      </c>
      <c r="J64" s="4" t="inlineStr">
        <is>
          <t>Media</t>
        </is>
      </c>
      <c r="K64" s="40" t="n"/>
      <c r="L64" s="4" t="inlineStr">
        <is>
          <t>Presentar plano de registros con tamaños.</t>
        </is>
      </c>
      <c r="M64" s="25" t="n"/>
      <c r="N64" s="55" t="n"/>
      <c r="O64" s="25" t="inlineStr">
        <is>
          <t>Abierta</t>
        </is>
      </c>
      <c r="P64" s="55" t="n"/>
      <c r="Q64" s="25" t="n"/>
      <c r="R64" s="25" t="n"/>
    </row>
    <row r="65" ht="56" customHeight="1">
      <c r="A65" s="4" t="inlineStr">
        <is>
          <t>OBS-061</t>
        </is>
      </c>
      <c r="B65" s="4" t="inlineStr">
        <is>
          <t>Balance / Actas</t>
        </is>
      </c>
      <c r="C65" s="4" t="inlineStr">
        <is>
          <t>Excel</t>
        </is>
      </c>
      <c r="D65" s="4" t="inlineStr">
        <is>
          <t>Trámites ($102,7 M) y ajuste de estudios y diseños ($205,4 M)</t>
        </is>
      </c>
      <c r="E65" s="4" t="inlineStr">
        <is>
          <t>Verificar</t>
        </is>
      </c>
      <c r="F65" s="4" t="inlineStr">
        <is>
          <t>Los trámites con el operador y el ajuste de estudios y diseños ya están remunerados con porcentajes globales. El punto de conexión sigue "PENDIENTE" y el diseño eléctrico no está firmado, por lo que no procede un cobro adicional por diseño ni trámites.</t>
        </is>
      </c>
      <c r="G65" s="4" t="inlineStr">
        <is>
          <t>Trámites 1 %, ajuste 2 %</t>
        </is>
      </c>
      <c r="H65" s="4" t="inlineStr">
        <is>
          <t>Unifilar: PENDIENTE</t>
        </is>
      </c>
      <c r="I65" s="4" t="inlineStr">
        <is>
          <t>Contrato</t>
        </is>
      </c>
      <c r="J65" s="4" t="inlineStr">
        <is>
          <t>Alta</t>
        </is>
      </c>
      <c r="K65" s="40" t="n"/>
      <c r="L65" s="4" t="inlineStr">
        <is>
          <t>Exigir factibilidad y diseño firmado dentro de estos ítems.</t>
        </is>
      </c>
      <c r="M65" s="25" t="n"/>
      <c r="N65" s="55" t="n"/>
      <c r="O65" s="25" t="inlineStr">
        <is>
          <t>Abierta</t>
        </is>
      </c>
      <c r="P65" s="55" t="n"/>
      <c r="Q65" s="25" t="n"/>
      <c r="R65" s="25" t="n"/>
    </row>
    <row r="66" ht="42" customHeight="1">
      <c r="A66" s="4" t="inlineStr">
        <is>
          <t>OBS-062</t>
        </is>
      </c>
      <c r="B66" s="4" t="inlineStr">
        <is>
          <t>Balance / Actas</t>
        </is>
      </c>
      <c r="C66" s="4" t="inlineStr">
        <is>
          <t>Excel</t>
        </is>
      </c>
      <c r="D66" s="4" t="inlineStr">
        <is>
          <t>Instalaciones eléctricas (internas) $8,0 M</t>
        </is>
      </c>
      <c r="E66" s="4" t="inlineStr">
        <is>
          <t>Verificar</t>
        </is>
      </c>
      <c r="F66" s="4" t="inlineStr">
        <is>
          <t>Ítem global que puede duplicar 4.30 a 4.38 e IN14.12 a IN14.17.</t>
        </is>
      </c>
      <c r="G66" s="4" t="inlineStr">
        <is>
          <t>Acta: GL $8,0 M</t>
        </is>
      </c>
      <c r="H66" s="4" t="inlineStr">
        <is>
          <t>Ítems unitarios eléctricos</t>
        </is>
      </c>
      <c r="I66" s="4" t="inlineStr">
        <is>
          <t>Control de acta</t>
        </is>
      </c>
      <c r="J66" s="4" t="inlineStr">
        <is>
          <t>Media</t>
        </is>
      </c>
      <c r="K66" s="40" t="n"/>
      <c r="L66" s="4" t="inlineStr">
        <is>
          <t>Presentar alcance y retirar si se duplica.</t>
        </is>
      </c>
      <c r="M66" s="25" t="n"/>
      <c r="N66" s="55" t="n"/>
      <c r="O66" s="25" t="inlineStr">
        <is>
          <t>Abierta</t>
        </is>
      </c>
      <c r="P66" s="55" t="n"/>
      <c r="Q66" s="25" t="n"/>
      <c r="R66" s="25" t="n"/>
    </row>
    <row r="67" ht="42" customHeight="1">
      <c r="A67" s="4" t="inlineStr">
        <is>
          <t>OBS-063</t>
        </is>
      </c>
      <c r="B67" s="4" t="inlineStr">
        <is>
          <t>Documentación</t>
        </is>
      </c>
      <c r="C67" s="4" t="inlineStr">
        <is>
          <t>Excel</t>
        </is>
      </c>
      <c r="D67" s="4" t="inlineStr">
        <is>
          <t>Certificación RETIE y medición de iluminancia</t>
        </is>
      </c>
      <c r="E67" s="4" t="inlineStr">
        <is>
          <t>Información faltante</t>
        </is>
      </c>
      <c r="F67" s="4" t="inlineStr">
        <is>
          <t>No hay ítem ni evidencia de dictamen de inspección de la instalación ni de medición de iluminancia en sitio por cancha.</t>
        </is>
      </c>
      <c r="G67" s="4" t="inlineStr">
        <is>
          <t>Acta: sin ítem</t>
        </is>
      </c>
      <c r="H67" s="4" t="inlineStr">
        <is>
          <t>Requerido para recibo</t>
        </is>
      </c>
      <c r="I67" s="4" t="inlineStr">
        <is>
          <t>RETIE vigente; RETILAP vigente</t>
        </is>
      </c>
      <c r="J67" s="4" t="inlineStr">
        <is>
          <t>Media</t>
        </is>
      </c>
      <c r="K67" s="40" t="n"/>
      <c r="L67" s="4" t="inlineStr">
        <is>
          <t>Presentar certificación e informe de medición, o incluirlos como ítem.</t>
        </is>
      </c>
      <c r="M67" s="25" t="n"/>
      <c r="N67" s="55" t="n"/>
      <c r="O67" s="25" t="inlineStr">
        <is>
          <t>Abierta</t>
        </is>
      </c>
      <c r="P67" s="55" t="n"/>
      <c r="Q67" s="25" t="n"/>
      <c r="R67" s="25" t="n"/>
    </row>
    <row r="68" ht="42" customHeight="1">
      <c r="A68" s="4" t="inlineStr">
        <is>
          <t>OBS-064</t>
        </is>
      </c>
      <c r="B68" s="4" t="inlineStr">
        <is>
          <t>Ductería y redes</t>
        </is>
      </c>
      <c r="C68" s="4" t="inlineStr">
        <is>
          <t>Excel, DXF, cálculo</t>
        </is>
      </c>
      <c r="D68" s="4" t="inlineStr">
        <is>
          <t>IN14.4 a IN14.6 metrajes de ducto</t>
        </is>
      </c>
      <c r="E68" s="4" t="inlineStr">
        <is>
          <t>Verificar</t>
        </is>
      </c>
      <c r="F68" s="4" t="inlineStr">
        <is>
          <t>Los bancos de ducto suman 1.028 m, frente a unos 704 m del contrato original (4.13 y 4.14), unos 773 m medidos en el DXF y 673 m + 408 m de cable en el cálculo.</t>
        </is>
      </c>
      <c r="G68" s="4" t="inlineStr">
        <is>
          <t>Acta: 1.028 m</t>
        </is>
      </c>
      <c r="H68" s="4" t="inlineStr">
        <is>
          <t>DXF: ≈ 773 m (incompleto)</t>
        </is>
      </c>
      <c r="I68" s="4" t="inlineStr">
        <is>
          <t>Control de acta</t>
        </is>
      </c>
      <c r="J68" s="4" t="inlineStr">
        <is>
          <t>Media</t>
        </is>
      </c>
      <c r="K68" s="40" t="n"/>
      <c r="L68" s="4" t="inlineStr">
        <is>
          <t>Presentar plano de recorridos y conciliar metrajes.</t>
        </is>
      </c>
      <c r="M68" s="25" t="n"/>
      <c r="N68" s="55" t="n"/>
      <c r="O68" s="25" t="inlineStr">
        <is>
          <t>Abierta</t>
        </is>
      </c>
      <c r="P68" s="55" t="n"/>
      <c r="Q68" s="25" t="n"/>
      <c r="R68" s="25" t="n"/>
    </row>
    <row r="69" ht="42" customHeight="1">
      <c r="A69" s="4" t="inlineStr">
        <is>
          <t>OBS-065</t>
        </is>
      </c>
      <c r="B69" s="4" t="inlineStr">
        <is>
          <t>Unifilar / MT / Medida</t>
        </is>
      </c>
      <c r="C69" s="4" t="inlineStr">
        <is>
          <t>Excel, unifilar</t>
        </is>
      </c>
      <c r="D69" s="4" t="inlineStr">
        <is>
          <t>4.2, 4.8 y 4.12</t>
        </is>
      </c>
      <c r="E69" s="4" t="inlineStr">
        <is>
          <t>Verificar</t>
        </is>
      </c>
      <c r="F69" s="4" t="inlineStr">
        <is>
          <t>Armados doble terminal (1→2), retenidas (1→2) y bajante IMC 3" (6→10 m) no se pueden verificar con el unifilar, que solo muestra dos apoyos.</t>
        </is>
      </c>
      <c r="G69" s="4" t="inlineStr">
        <is>
          <t>Acta: 2 / 2 / 10 m</t>
        </is>
      </c>
      <c r="H69" s="4" t="inlineStr">
        <is>
          <t>Unifilar: EPP005 y EPP007</t>
        </is>
      </c>
      <c r="I69" s="4" t="inlineStr">
        <is>
          <t>Operador de red</t>
        </is>
      </c>
      <c r="J69" s="4" t="inlineStr">
        <is>
          <t>Media</t>
        </is>
      </c>
      <c r="K69" s="40" t="n"/>
      <c r="L69" s="4" t="inlineStr">
        <is>
          <t>Presentar plano de la red MT con armados, retenidas y bajantes.</t>
        </is>
      </c>
      <c r="M69" s="25" t="n"/>
      <c r="N69" s="55" t="n"/>
      <c r="O69" s="25" t="inlineStr">
        <is>
          <t>Abierta</t>
        </is>
      </c>
      <c r="P69" s="55" t="n"/>
      <c r="Q69" s="25" t="n"/>
      <c r="R69" s="25" t="n"/>
    </row>
  </sheetData>
  <autoFilter ref="A4:R69"/>
  <conditionalFormatting sqref="E5:E219">
    <cfRule type="cellIs" priority="4" operator="equal" dxfId="1">
      <formula>"Concordancia"</formula>
    </cfRule>
    <cfRule type="cellIs" priority="5" operator="equal" dxfId="9">
      <formula>"Incumplimiento normativo"</formula>
    </cfRule>
  </conditionalFormatting>
  <conditionalFormatting sqref="J5:J219">
    <cfRule type="cellIs" priority="1" operator="equal" dxfId="2">
      <formula>"Alta"</formula>
    </cfRule>
    <cfRule type="cellIs" priority="2" operator="equal" dxfId="0">
      <formula>"Media"</formula>
    </cfRule>
    <cfRule type="cellIs" priority="3" operator="equal" dxfId="6">
      <formula>"Baja"</formula>
    </cfRule>
  </conditionalFormatting>
  <conditionalFormatting sqref="N5:N219">
    <cfRule type="expression" priority="8" dxfId="5">
      <formula>AND(N5&lt;&gt;"",N5&lt;TODAY(),$O5&lt;&gt;"Cerrada",$O5&lt;&gt;"No aplica")</formula>
    </cfRule>
  </conditionalFormatting>
  <conditionalFormatting sqref="O5:O219">
    <cfRule type="cellIs" priority="6" operator="equal" dxfId="1">
      <formula>"Cerrada"</formula>
    </cfRule>
    <cfRule type="cellIs" priority="7" operator="equal" dxfId="3">
      <formula>"Abierta"</formula>
    </cfRule>
  </conditionalFormatting>
  <dataValidations count="4">
    <dataValidation sqref="E5:E169" showDropDown="0" showInputMessage="0" showErrorMessage="0" allowBlank="1" type="list">
      <formula1>=Listas!$A$2:$A$6</formula1>
    </dataValidation>
    <dataValidation sqref="J5:J169" showDropDown="0" showInputMessage="0" showErrorMessage="0" allowBlank="1" type="list">
      <formula1>=Listas!$B$2:$B$4</formula1>
    </dataValidation>
    <dataValidation sqref="O5:O169" showDropDown="0" showInputMessage="0" showErrorMessage="0" allowBlank="1" type="list">
      <formula1>=Listas!$C$2:$C$6</formula1>
    </dataValidation>
    <dataValidation sqref="B5:B169" showDropDown="0" showInputMessage="0" showErrorMessage="0" allowBlank="1" type="list">
      <formula1>=Listas!$D$2:$D$10</formula1>
    </dataValidation>
  </dataValidations>
  <pageMargins left="0.75" right="0.75" top="1" bottom="1" header="0.5" footer="0.5"/>
  <pageSetup orientation="landscape" fitToHeight="0"/>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F38"/>
  <sheetViews>
    <sheetView showGridLines="0" workbookViewId="0">
      <pane ySplit="4" topLeftCell="A5" activePane="bottomLeft" state="frozen"/>
      <selection pane="bottomLeft" activeCell="C11" sqref="C11"/>
    </sheetView>
  </sheetViews>
  <sheetFormatPr baseColWidth="10" defaultColWidth="8.83203125" defaultRowHeight="15"/>
  <cols>
    <col width="6" customWidth="1" min="1" max="1"/>
    <col width="24" customWidth="1" min="2" max="2"/>
    <col width="70" customWidth="1" min="3" max="3"/>
    <col width="34" customWidth="1" min="4" max="4"/>
    <col width="14" customWidth="1" min="5" max="5"/>
    <col width="40" customWidth="1" min="6" max="6"/>
  </cols>
  <sheetData>
    <row r="1" ht="22" customHeight="1">
      <c r="D1" s="1" t="inlineStr">
        <is>
          <t>Lista de verificación para revisión eléctrica de proyectos</t>
        </is>
      </c>
    </row>
    <row r="2" ht="22" customHeight="1">
      <c r="D2" s="2" t="inlineStr">
        <is>
          <t>Formato reutilizable. Diligenciar Resultado y, si no cumple, abrir observación en la matriz. Las referencias son de orden general: completar el numeral aplicable.</t>
        </is>
      </c>
    </row>
    <row r="4" ht="32" customHeight="1">
      <c r="A4" s="7" t="inlineStr">
        <is>
          <t>#</t>
        </is>
      </c>
      <c r="B4" s="7" t="inlineStr">
        <is>
          <t>Sección</t>
        </is>
      </c>
      <c r="C4" s="7" t="inlineStr">
        <is>
          <t>Requisito a verificar</t>
        </is>
      </c>
      <c r="D4" s="7" t="inlineStr">
        <is>
          <t>Referencia</t>
        </is>
      </c>
      <c r="E4" s="7" t="inlineStr">
        <is>
          <t>Resultado</t>
        </is>
      </c>
      <c r="F4" s="7" t="inlineStr">
        <is>
          <t>Observación / ID matriz</t>
        </is>
      </c>
    </row>
    <row r="5">
      <c r="A5" s="4" t="n">
        <v>1</v>
      </c>
      <c r="B5" s="4" t="inlineStr">
        <is>
          <t>Documentación</t>
        </is>
      </c>
      <c r="C5" s="4" t="inlineStr">
        <is>
          <t>Planos y memorias firmados por profesional con matrícula vigente</t>
        </is>
      </c>
      <c r="D5" s="4" t="inlineStr">
        <is>
          <t>RETIE vigente</t>
        </is>
      </c>
      <c r="E5" s="25" t="inlineStr">
        <is>
          <t>Pendiente</t>
        </is>
      </c>
      <c r="F5" s="4" t="n"/>
    </row>
    <row r="6">
      <c r="A6" s="4" t="n">
        <v>2</v>
      </c>
      <c r="B6" s="4" t="inlineStr">
        <is>
          <t>Documentación</t>
        </is>
      </c>
      <c r="C6" s="4" t="inlineStr">
        <is>
          <t>Fechas y versión del diseño coherentes con la ejecución y el contrato</t>
        </is>
      </c>
      <c r="D6" s="4" t="inlineStr">
        <is>
          <t>Contrato</t>
        </is>
      </c>
      <c r="E6" s="25" t="inlineStr">
        <is>
          <t>Pendiente</t>
        </is>
      </c>
      <c r="F6" s="4" t="n"/>
    </row>
    <row r="7">
      <c r="A7" s="4" t="n">
        <v>3</v>
      </c>
      <c r="B7" s="4" t="inlineStr">
        <is>
          <t>Documentación</t>
        </is>
      </c>
      <c r="C7" s="4" t="inlineStr">
        <is>
          <t>Factibilidad / punto de conexión definido y aprobado por el operador de red</t>
        </is>
      </c>
      <c r="D7" s="4" t="inlineStr">
        <is>
          <t>Operador de red</t>
        </is>
      </c>
      <c r="E7" s="25" t="inlineStr">
        <is>
          <t>Pendiente</t>
        </is>
      </c>
      <c r="F7" s="4" t="n"/>
    </row>
    <row r="8">
      <c r="A8" s="4" t="n">
        <v>4</v>
      </c>
      <c r="B8" s="4" t="inlineStr">
        <is>
          <t>Documentación</t>
        </is>
      </c>
      <c r="C8" s="4" t="inlineStr">
        <is>
          <t>Planos, cálculos, unifilar y balance con las mismas cantidades</t>
        </is>
      </c>
      <c r="D8" s="4" t="inlineStr">
        <is>
          <t>Coherencia de diseño</t>
        </is>
      </c>
      <c r="E8" s="25" t="inlineStr">
        <is>
          <t>Pendiente</t>
        </is>
      </c>
      <c r="F8" s="4" t="n"/>
    </row>
    <row r="9">
      <c r="A9" s="4" t="n">
        <v>5</v>
      </c>
      <c r="B9" s="4" t="inlineStr">
        <is>
          <t>Documentación</t>
        </is>
      </c>
      <c r="C9" s="4" t="inlineStr">
        <is>
          <t>Certificados de producto (luminarias, cables, tableros, DPS, transformador)</t>
        </is>
      </c>
      <c r="D9" s="4" t="inlineStr">
        <is>
          <t>RETIE vigente; RETILAP vigente</t>
        </is>
      </c>
      <c r="E9" s="25" t="inlineStr">
        <is>
          <t>Pendiente</t>
        </is>
      </c>
      <c r="F9" s="4" t="n"/>
    </row>
    <row r="10">
      <c r="A10" s="4" t="n">
        <v>6</v>
      </c>
      <c r="B10" s="4" t="inlineStr">
        <is>
          <t>Documentación</t>
        </is>
      </c>
      <c r="C10" s="4" t="inlineStr">
        <is>
          <t>Archivos fotométricos (LDT/IES) y fichas técnicas</t>
        </is>
      </c>
      <c r="D10" s="4" t="inlineStr">
        <is>
          <t>RETILAP vigente</t>
        </is>
      </c>
      <c r="E10" s="25" t="inlineStr">
        <is>
          <t>Pendiente</t>
        </is>
      </c>
      <c r="F10" s="4" t="n"/>
    </row>
    <row r="11">
      <c r="A11" s="4" t="n">
        <v>7</v>
      </c>
      <c r="B11" s="4" t="inlineStr">
        <is>
          <t>Media tensión y medida</t>
        </is>
      </c>
      <c r="C11" s="4" t="inlineStr">
        <is>
          <t>Conductor, apoyos y vanos acotados y coherentes con el balance</t>
        </is>
      </c>
      <c r="D11" s="4" t="inlineStr">
        <is>
          <t>Operador de red</t>
        </is>
      </c>
      <c r="E11" s="25" t="inlineStr">
        <is>
          <t>Pendiente</t>
        </is>
      </c>
      <c r="F11" s="4" t="n"/>
    </row>
    <row r="12">
      <c r="A12" s="4" t="n">
        <v>8</v>
      </c>
      <c r="B12" s="4" t="inlineStr">
        <is>
          <t>Media tensión y medida</t>
        </is>
      </c>
      <c r="C12" s="4" t="inlineStr">
        <is>
          <t>Protecciones de MT (cortacircuitos, fusibles, DPS) seleccionadas por corriente nominal</t>
        </is>
      </c>
      <c r="D12" s="4" t="inlineStr">
        <is>
          <t>RETIE vigente; operador de red</t>
        </is>
      </c>
      <c r="E12" s="25" t="inlineStr">
        <is>
          <t>Pendiente</t>
        </is>
      </c>
      <c r="F12" s="4" t="n"/>
    </row>
    <row r="13">
      <c r="A13" s="4" t="n">
        <v>9</v>
      </c>
      <c r="B13" s="4" t="inlineStr">
        <is>
          <t>Media tensión y medida</t>
        </is>
      </c>
      <c r="C13" s="4" t="inlineStr">
        <is>
          <t>Esquema de medida (TC, TP, medidor) conforme a lo requerido por el operador</t>
        </is>
      </c>
      <c r="D13" s="4" t="inlineStr">
        <is>
          <t>Operador de red</t>
        </is>
      </c>
      <c r="E13" s="25" t="inlineStr">
        <is>
          <t>Pendiente</t>
        </is>
      </c>
      <c r="F13" s="4" t="n"/>
    </row>
    <row r="14">
      <c r="A14" s="4" t="n">
        <v>10</v>
      </c>
      <c r="B14" s="4" t="inlineStr">
        <is>
          <t>Transformador</t>
        </is>
      </c>
      <c r="C14" s="4" t="inlineStr">
        <is>
          <t>Potencia del transformador sustentada con cuadro de cargas y demanda</t>
        </is>
      </c>
      <c r="D14" s="4" t="inlineStr">
        <is>
          <t>NTC 2050; RETIE vigente</t>
        </is>
      </c>
      <c r="E14" s="25" t="inlineStr">
        <is>
          <t>Pendiente</t>
        </is>
      </c>
      <c r="F14" s="4" t="n"/>
    </row>
    <row r="15">
      <c r="A15" s="4" t="n">
        <v>11</v>
      </c>
      <c r="B15" s="4" t="inlineStr">
        <is>
          <t>Transformador</t>
        </is>
      </c>
      <c r="C15" s="4" t="inlineStr">
        <is>
          <t>Transformador e ítems asociados presentes en el balance</t>
        </is>
      </c>
      <c r="D15" s="4" t="inlineStr">
        <is>
          <t>Control de acta</t>
        </is>
      </c>
      <c r="E15" s="25" t="inlineStr">
        <is>
          <t>Pendiente</t>
        </is>
      </c>
      <c r="F15" s="4" t="n"/>
    </row>
    <row r="16">
      <c r="A16" s="4" t="n">
        <v>12</v>
      </c>
      <c r="B16" s="4" t="inlineStr">
        <is>
          <t>Tableros y protecciones</t>
        </is>
      </c>
      <c r="C16" s="4" t="inlineStr">
        <is>
          <t>Protecciones ≥ 125 % de la carga continua y ≤ ampacidad del conductor</t>
        </is>
      </c>
      <c r="D16" s="4" t="inlineStr">
        <is>
          <t>NTC 2050 210-20 y 215-3</t>
        </is>
      </c>
      <c r="E16" s="25" t="inlineStr">
        <is>
          <t>Pendiente</t>
        </is>
      </c>
      <c r="F16" s="4" t="n"/>
    </row>
    <row r="17">
      <c r="A17" s="4" t="n">
        <v>13</v>
      </c>
      <c r="B17" s="4" t="inlineStr">
        <is>
          <t>Tableros y protecciones</t>
        </is>
      </c>
      <c r="C17" s="4" t="inlineStr">
        <is>
          <t>Capacidad de barras y corriente de cortocircuito (Icc) declaradas y certificadas</t>
        </is>
      </c>
      <c r="D17" s="4" t="inlineStr">
        <is>
          <t>NTC 2050; RETIE vigente</t>
        </is>
      </c>
      <c r="E17" s="25" t="inlineStr">
        <is>
          <t>Pendiente</t>
        </is>
      </c>
      <c r="F17" s="4" t="n"/>
    </row>
    <row r="18">
      <c r="A18" s="4" t="n">
        <v>14</v>
      </c>
      <c r="B18" s="4" t="inlineStr">
        <is>
          <t>Tableros y protecciones</t>
        </is>
      </c>
      <c r="C18" s="4" t="inlineStr">
        <is>
          <t>DPS en acometida y tableros según diseño</t>
        </is>
      </c>
      <c r="D18" s="4" t="inlineStr">
        <is>
          <t>RETIE vigente</t>
        </is>
      </c>
      <c r="E18" s="25" t="inlineStr">
        <is>
          <t>Pendiente</t>
        </is>
      </c>
      <c r="F18" s="4" t="n"/>
    </row>
    <row r="19">
      <c r="A19" s="4" t="n">
        <v>15</v>
      </c>
      <c r="B19" s="4" t="inlineStr">
        <is>
          <t>Tableros y protecciones</t>
        </is>
      </c>
      <c r="C19" s="4" t="inlineStr">
        <is>
          <t>Sin duplicidad entre tableros/breakers de los ítems del balance</t>
        </is>
      </c>
      <c r="D19" s="4" t="inlineStr">
        <is>
          <t>Control de acta</t>
        </is>
      </c>
      <c r="E19" s="25" t="inlineStr">
        <is>
          <t>Pendiente</t>
        </is>
      </c>
      <c r="F19" s="4" t="n"/>
    </row>
    <row r="20">
      <c r="A20" s="4" t="n">
        <v>16</v>
      </c>
      <c r="B20" s="4" t="inlineStr">
        <is>
          <t>Conductores y ductería</t>
        </is>
      </c>
      <c r="C20" s="4" t="inlineStr">
        <is>
          <t>Calibres consistentes entre unifilar, cálculo, planos y balance</t>
        </is>
      </c>
      <c r="D20" s="4" t="inlineStr">
        <is>
          <t>Coherencia de diseño</t>
        </is>
      </c>
      <c r="E20" s="25" t="inlineStr">
        <is>
          <t>Pendiente</t>
        </is>
      </c>
      <c r="F20" s="4" t="n"/>
    </row>
    <row r="21">
      <c r="A21" s="4" t="n">
        <v>17</v>
      </c>
      <c r="B21" s="4" t="inlineStr">
        <is>
          <t>Conductores y ductería</t>
        </is>
      </c>
      <c r="C21" s="4" t="inlineStr">
        <is>
          <t>Material del conductor (Al / Cu) consistente en todos los documentos</t>
        </is>
      </c>
      <c r="D21" s="4" t="inlineStr">
        <is>
          <t>Coherencia de diseño</t>
        </is>
      </c>
      <c r="E21" s="25" t="inlineStr">
        <is>
          <t>Pendiente</t>
        </is>
      </c>
      <c r="F21" s="4" t="n"/>
    </row>
    <row r="22">
      <c r="A22" s="4" t="n">
        <v>18</v>
      </c>
      <c r="B22" s="4" t="inlineStr">
        <is>
          <t>Conductores y ductería</t>
        </is>
      </c>
      <c r="C22" s="4" t="inlineStr">
        <is>
          <t>Ocupación de ductos ≤ 40 % y diámetros consistentes</t>
        </is>
      </c>
      <c r="D22" s="4" t="inlineStr">
        <is>
          <t>NTC 2050 Cap. 9 Tabla 1</t>
        </is>
      </c>
      <c r="E22" s="25" t="inlineStr">
        <is>
          <t>Pendiente</t>
        </is>
      </c>
      <c r="F22" s="4" t="n"/>
    </row>
    <row r="23">
      <c r="A23" s="4" t="n">
        <v>19</v>
      </c>
      <c r="B23" s="4" t="inlineStr">
        <is>
          <t>Conductores y ductería</t>
        </is>
      </c>
      <c r="C23" s="4" t="inlineStr">
        <is>
          <t>Longitudes por circuito conciliadas con el plano de recorridos</t>
        </is>
      </c>
      <c r="D23" s="4" t="inlineStr">
        <is>
          <t>Control de acta</t>
        </is>
      </c>
      <c r="E23" s="25" t="inlineStr">
        <is>
          <t>Pendiente</t>
        </is>
      </c>
      <c r="F23" s="4" t="n"/>
    </row>
    <row r="24">
      <c r="A24" s="4" t="n">
        <v>20</v>
      </c>
      <c r="B24" s="4" t="inlineStr">
        <is>
          <t>Regulación</t>
        </is>
      </c>
      <c r="C24" s="4" t="inlineStr">
        <is>
          <t>Fórmula con la conductividad / resistencia del material correcto</t>
        </is>
      </c>
      <c r="D24" s="4" t="inlineStr">
        <is>
          <t>NTC 2050 Cap. 9 Tabla 9</t>
        </is>
      </c>
      <c r="E24" s="25" t="inlineStr">
        <is>
          <t>Pendiente</t>
        </is>
      </c>
      <c r="F24" s="4" t="n"/>
    </row>
    <row r="25">
      <c r="A25" s="4" t="n">
        <v>21</v>
      </c>
      <c r="B25" s="4" t="inlineStr">
        <is>
          <t>Regulación</t>
        </is>
      </c>
      <c r="C25" s="4" t="inlineStr">
        <is>
          <t>Secciones usadas = secciones reales del cable</t>
        </is>
      </c>
      <c r="D25" s="4" t="inlineStr">
        <is>
          <t>Memoria de cálculo</t>
        </is>
      </c>
      <c r="E25" s="25" t="inlineStr">
        <is>
          <t>Pendiente</t>
        </is>
      </c>
      <c r="F25" s="4" t="n"/>
    </row>
    <row r="26">
      <c r="A26" s="4" t="n">
        <v>22</v>
      </c>
      <c r="B26" s="4" t="inlineStr">
        <is>
          <t>Regulación</t>
        </is>
      </c>
      <c r="C26" s="4" t="inlineStr">
        <is>
          <t>Caída de tensión ≤ 3 % en alimentador y ≤ 5 % total (o criterio contractual)</t>
        </is>
      </c>
      <c r="D26" s="4" t="inlineStr">
        <is>
          <t>NTC 2050 210-19 y 215-2</t>
        </is>
      </c>
      <c r="E26" s="25" t="inlineStr">
        <is>
          <t>Pendiente</t>
        </is>
      </c>
      <c r="F26" s="4" t="n"/>
    </row>
    <row r="27">
      <c r="A27" s="4" t="n">
        <v>23</v>
      </c>
      <c r="B27" s="4" t="inlineStr">
        <is>
          <t>Regulación</t>
        </is>
      </c>
      <c r="C27" s="4" t="inlineStr">
        <is>
          <t>Cargas por circuito coinciden con las luminarias del diseño</t>
        </is>
      </c>
      <c r="D27" s="4" t="inlineStr">
        <is>
          <t>Coherencia de diseño</t>
        </is>
      </c>
      <c r="E27" s="25" t="inlineStr">
        <is>
          <t>Pendiente</t>
        </is>
      </c>
      <c r="F27" s="4" t="n"/>
    </row>
    <row r="28">
      <c r="A28" s="4" t="n">
        <v>24</v>
      </c>
      <c r="B28" s="4" t="inlineStr">
        <is>
          <t>Puesta a tierra</t>
        </is>
      </c>
      <c r="C28" s="4" t="inlineStr">
        <is>
          <t>Conductor de tierra de equipos dimensionado según la protección</t>
        </is>
      </c>
      <c r="D28" s="4" t="inlineStr">
        <is>
          <t>NTC 2050 250-122</t>
        </is>
      </c>
      <c r="E28" s="25" t="inlineStr">
        <is>
          <t>Pendiente</t>
        </is>
      </c>
      <c r="F28" s="4" t="n"/>
    </row>
    <row r="29">
      <c r="A29" s="4" t="n">
        <v>25</v>
      </c>
      <c r="B29" s="4" t="inlineStr">
        <is>
          <t>Puesta a tierra</t>
        </is>
      </c>
      <c r="C29" s="4" t="inlineStr">
        <is>
          <t>Diseño de SPT con medición de resistencia</t>
        </is>
      </c>
      <c r="D29" s="4" t="inlineStr">
        <is>
          <t>RETIE vigente</t>
        </is>
      </c>
      <c r="E29" s="25" t="inlineStr">
        <is>
          <t>Pendiente</t>
        </is>
      </c>
      <c r="F29" s="4" t="n"/>
    </row>
    <row r="30">
      <c r="A30" s="4" t="n">
        <v>26</v>
      </c>
      <c r="B30" s="4" t="inlineStr">
        <is>
          <t>Puesta a tierra</t>
        </is>
      </c>
      <c r="C30" s="4" t="inlineStr">
        <is>
          <t>Evaluación de riesgo por rayos que justifique el apantallamiento</t>
        </is>
      </c>
      <c r="D30" s="4" t="inlineStr">
        <is>
          <t>RETIE vigente</t>
        </is>
      </c>
      <c r="E30" s="25" t="inlineStr">
        <is>
          <t>Pendiente</t>
        </is>
      </c>
      <c r="F30" s="4" t="n"/>
    </row>
    <row r="31">
      <c r="A31" s="4" t="n">
        <v>27</v>
      </c>
      <c r="B31" s="4" t="inlineStr">
        <is>
          <t>Iluminación</t>
        </is>
      </c>
      <c r="C31" s="4" t="inlineStr">
        <is>
          <t>Nivel de iluminancia y uniformidad según categoría exigida</t>
        </is>
      </c>
      <c r="D31" s="4" t="inlineStr">
        <is>
          <t>RETILAP vigente</t>
        </is>
      </c>
      <c r="E31" s="25" t="inlineStr">
        <is>
          <t>Pendiente</t>
        </is>
      </c>
      <c r="F31" s="4" t="n"/>
    </row>
    <row r="32">
      <c r="A32" s="4" t="n">
        <v>28</v>
      </c>
      <c r="B32" s="4" t="inlineStr">
        <is>
          <t>Iluminación</t>
        </is>
      </c>
      <c r="C32" s="4" t="inlineStr">
        <is>
          <t>Informe de cálculo con posición, altura, inclinación y orientación</t>
        </is>
      </c>
      <c r="D32" s="4" t="inlineStr">
        <is>
          <t>RETILAP vigente</t>
        </is>
      </c>
      <c r="E32" s="25" t="inlineStr">
        <is>
          <t>Pendiente</t>
        </is>
      </c>
      <c r="F32" s="4" t="n"/>
    </row>
    <row r="33">
      <c r="A33" s="4" t="n">
        <v>29</v>
      </c>
      <c r="B33" s="4" t="inlineStr">
        <is>
          <t>Iluminación</t>
        </is>
      </c>
      <c r="C33" s="4" t="inlineStr">
        <is>
          <t>Deslumbramiento y luz intrusa evaluados</t>
        </is>
      </c>
      <c r="D33" s="4" t="inlineStr">
        <is>
          <t>RETILAP vigente</t>
        </is>
      </c>
      <c r="E33" s="25" t="inlineStr">
        <is>
          <t>Pendiente</t>
        </is>
      </c>
      <c r="F33" s="4" t="n"/>
    </row>
    <row r="34">
      <c r="A34" s="4" t="n">
        <v>30</v>
      </c>
      <c r="B34" s="4" t="inlineStr">
        <is>
          <t>Iluminación</t>
        </is>
      </c>
      <c r="C34" s="4" t="inlineStr">
        <is>
          <t>Factor de mantenimiento justificado</t>
        </is>
      </c>
      <c r="D34" s="4" t="inlineStr">
        <is>
          <t>RETILAP vigente</t>
        </is>
      </c>
      <c r="E34" s="25" t="inlineStr">
        <is>
          <t>Pendiente</t>
        </is>
      </c>
      <c r="F34" s="4" t="n"/>
    </row>
    <row r="35">
      <c r="A35" s="4" t="n">
        <v>31</v>
      </c>
      <c r="B35" s="4" t="inlineStr">
        <is>
          <t>Iluminación</t>
        </is>
      </c>
      <c r="C35" s="4" t="inlineStr">
        <is>
          <t>Luminaria del informe = luminaria del plano = luminaria del balance</t>
        </is>
      </c>
      <c r="D35" s="4" t="inlineStr">
        <is>
          <t>Coherencia de diseño</t>
        </is>
      </c>
      <c r="E35" s="25" t="inlineStr">
        <is>
          <t>Pendiente</t>
        </is>
      </c>
      <c r="F35" s="4" t="n"/>
    </row>
    <row r="36">
      <c r="A36" s="4" t="n">
        <v>32</v>
      </c>
      <c r="B36" s="4" t="inlineStr">
        <is>
          <t>Balance</t>
        </is>
      </c>
      <c r="C36" s="4" t="inlineStr">
        <is>
          <t>Cantidades del balance sustentadas por planos y cálculos</t>
        </is>
      </c>
      <c r="D36" s="4" t="inlineStr">
        <is>
          <t>Control de acta</t>
        </is>
      </c>
      <c r="E36" s="25" t="inlineStr">
        <is>
          <t>Pendiente</t>
        </is>
      </c>
      <c r="F36" s="4" t="n"/>
    </row>
    <row r="37">
      <c r="A37" s="4" t="n">
        <v>33</v>
      </c>
      <c r="B37" s="4" t="inlineStr">
        <is>
          <t>Balance</t>
        </is>
      </c>
      <c r="C37" s="4" t="inlineStr">
        <is>
          <t>Ítems nuevos con código, unidad, APU y aprobación</t>
        </is>
      </c>
      <c r="D37" s="4" t="inlineStr">
        <is>
          <t>Contrato</t>
        </is>
      </c>
      <c r="E37" s="25" t="inlineStr">
        <is>
          <t>Pendiente</t>
        </is>
      </c>
      <c r="F37" s="4" t="n"/>
    </row>
    <row r="38">
      <c r="A38" s="4" t="n">
        <v>34</v>
      </c>
      <c r="B38" s="4" t="inlineStr">
        <is>
          <t>Balance</t>
        </is>
      </c>
      <c r="C38" s="4" t="inlineStr">
        <is>
          <t>Fórmulas y subtotales del acta correctos</t>
        </is>
      </c>
      <c r="D38" s="4" t="inlineStr">
        <is>
          <t>Control de acta</t>
        </is>
      </c>
      <c r="E38" s="25" t="inlineStr">
        <is>
          <t>Pendiente</t>
        </is>
      </c>
      <c r="F38" s="4" t="n"/>
    </row>
  </sheetData>
  <conditionalFormatting sqref="E5:E78">
    <cfRule type="cellIs" priority="1" operator="equal" dxfId="2">
      <formula>"No cumple"</formula>
    </cfRule>
    <cfRule type="cellIs" priority="2" operator="equal" dxfId="1">
      <formula>"Cumple"</formula>
    </cfRule>
  </conditionalFormatting>
  <dataValidations count="1">
    <dataValidation sqref="E5:E79" showDropDown="0" showInputMessage="0" showErrorMessage="0" allowBlank="1" type="list">
      <formula1>=Listas!$E$2:$E$6</formula1>
    </dataValidation>
  </dataValidations>
  <pageMargins left="0.75" right="0.75" top="1" bottom="1" header="0.5" footer="0.5"/>
  <pageSetup orientation="landscape" fitToHeight="0"/>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R204"/>
  <sheetViews>
    <sheetView showGridLines="0" workbookViewId="0">
      <pane xSplit="6" ySplit="4" topLeftCell="G5" activePane="bottomRight" state="frozen"/>
      <selection pane="topRight" activeCell="A1" sqref="A1"/>
      <selection pane="bottomLeft" activeCell="A1" sqref="A1"/>
      <selection pane="bottomRight" activeCell="H4" sqref="H4"/>
    </sheetView>
  </sheetViews>
  <sheetFormatPr baseColWidth="10" defaultColWidth="8.83203125" defaultRowHeight="15"/>
  <cols>
    <col width="8" customWidth="1" min="1" max="1"/>
    <col width="18" customWidth="1" min="2" max="2"/>
    <col width="24" customWidth="1" min="3" max="3"/>
    <col width="18" customWidth="1" min="4" max="5"/>
    <col width="58" customWidth="1" min="6" max="6"/>
    <col width="28" customWidth="1" min="7" max="8"/>
    <col width="30" customWidth="1" min="9" max="9"/>
    <col width="11" customWidth="1" min="10" max="10"/>
    <col width="18" customWidth="1" min="11" max="11"/>
    <col width="50" customWidth="1" min="12" max="12"/>
    <col width="16" customWidth="1" min="13" max="13"/>
    <col width="12" customWidth="1" min="14" max="16"/>
    <col width="36" customWidth="1" min="17" max="17"/>
    <col width="30" customWidth="1" min="18" max="18"/>
  </cols>
  <sheetData>
    <row r="1" ht="22" customHeight="1">
      <c r="D1" s="1" t="inlineStr">
        <is>
          <t>Matriz de observaciones – formato en blanco</t>
        </is>
      </c>
    </row>
    <row r="2" ht="22" customHeight="1">
      <c r="D2" s="2" t="inlineStr">
        <is>
          <t>Copiar esta hoja para cada nuevo proyecto. Listas desplegables y formato condicional ya aplicados.</t>
        </is>
      </c>
    </row>
    <row r="4" ht="32" customHeight="1">
      <c r="A4" s="7" t="inlineStr">
        <is>
          <t>ID</t>
        </is>
      </c>
      <c r="B4" s="7" t="inlineStr">
        <is>
          <t>Área</t>
        </is>
      </c>
      <c r="C4" s="7" t="inlineStr">
        <is>
          <t>Documento(s) fuente</t>
        </is>
      </c>
      <c r="D4" s="7" t="inlineStr">
        <is>
          <t>Ref. (ítem / plano / hoja)</t>
        </is>
      </c>
      <c r="E4" s="7" t="inlineStr">
        <is>
          <t>Tipo</t>
        </is>
      </c>
      <c r="F4" s="7" t="inlineStr">
        <is>
          <t>Descripción del hallazgo</t>
        </is>
      </c>
      <c r="G4" s="7" t="inlineStr">
        <is>
          <t>Dato documento A</t>
        </is>
      </c>
      <c r="H4" s="7" t="inlineStr">
        <is>
          <t>Dato documento B</t>
        </is>
      </c>
      <c r="I4" s="7" t="inlineStr">
        <is>
          <t>Norma / referencia</t>
        </is>
      </c>
      <c r="J4" s="7" t="inlineStr">
        <is>
          <t>Criticidad</t>
        </is>
      </c>
      <c r="K4" s="7" t="inlineStr">
        <is>
          <t>Valor no sustentado est. (COP)</t>
        </is>
      </c>
      <c r="L4" s="7" t="inlineStr">
        <is>
          <t>Acción exigida al contratista</t>
        </is>
      </c>
      <c r="M4" s="7" t="inlineStr">
        <is>
          <t>Responsable</t>
        </is>
      </c>
      <c r="N4" s="7" t="inlineStr">
        <is>
          <t>Fecha límite</t>
        </is>
      </c>
      <c r="O4" s="7" t="inlineStr">
        <is>
          <t>Estado</t>
        </is>
      </c>
      <c r="P4" s="7" t="inlineStr">
        <is>
          <t>Fecha de cierre</t>
        </is>
      </c>
      <c r="Q4" s="7" t="inlineStr">
        <is>
          <t>Respuesta / evidencia de cierre</t>
        </is>
      </c>
      <c r="R4" s="7" t="inlineStr">
        <is>
          <t>Observaciones interventoría</t>
        </is>
      </c>
    </row>
    <row r="5">
      <c r="A5" s="4">
        <f>IF(F5="","","OBS-"&amp;TEXT(ROW()-4,"000"))</f>
        <v/>
      </c>
      <c r="B5" s="4" t="n"/>
      <c r="C5" s="4" t="n"/>
      <c r="D5" s="4" t="n"/>
      <c r="E5" s="4" t="n"/>
      <c r="F5" s="4" t="n"/>
      <c r="G5" s="4" t="n"/>
      <c r="H5" s="4" t="n"/>
      <c r="I5" s="4" t="n"/>
      <c r="J5" s="4" t="n"/>
      <c r="K5" s="40" t="n"/>
      <c r="L5" s="4" t="n"/>
      <c r="M5" s="25" t="n"/>
      <c r="N5" s="55" t="n"/>
      <c r="O5" s="25" t="n"/>
      <c r="P5" s="55" t="n"/>
      <c r="Q5" s="25" t="n"/>
      <c r="R5" s="25" t="n"/>
    </row>
    <row r="6">
      <c r="A6" s="4">
        <f>IF(F6="","","OBS-"&amp;TEXT(ROW()-4,"000"))</f>
        <v/>
      </c>
      <c r="B6" s="4" t="n"/>
      <c r="C6" s="4" t="n"/>
      <c r="D6" s="4" t="n"/>
      <c r="E6" s="4" t="n"/>
      <c r="F6" s="4" t="n"/>
      <c r="G6" s="4" t="n"/>
      <c r="H6" s="4" t="n"/>
      <c r="I6" s="4" t="n"/>
      <c r="J6" s="4" t="n"/>
      <c r="K6" s="40" t="n"/>
      <c r="L6" s="4" t="n"/>
      <c r="M6" s="25" t="n"/>
      <c r="N6" s="55" t="n"/>
      <c r="O6" s="25" t="n"/>
      <c r="P6" s="55" t="n"/>
      <c r="Q6" s="25" t="n"/>
      <c r="R6" s="25" t="n"/>
    </row>
    <row r="7">
      <c r="A7" s="4">
        <f>IF(F7="","","OBS-"&amp;TEXT(ROW()-4,"000"))</f>
        <v/>
      </c>
      <c r="B7" s="4" t="n"/>
      <c r="C7" s="4" t="n"/>
      <c r="D7" s="4" t="n"/>
      <c r="E7" s="4" t="n"/>
      <c r="F7" s="4" t="n"/>
      <c r="G7" s="4" t="n"/>
      <c r="H7" s="4" t="n"/>
      <c r="I7" s="4" t="n"/>
      <c r="J7" s="4" t="n"/>
      <c r="K7" s="40" t="n"/>
      <c r="L7" s="4" t="n"/>
      <c r="M7" s="25" t="n"/>
      <c r="N7" s="55" t="n"/>
      <c r="O7" s="25" t="n"/>
      <c r="P7" s="55" t="n"/>
      <c r="Q7" s="25" t="n"/>
      <c r="R7" s="25" t="n"/>
    </row>
    <row r="8">
      <c r="A8" s="4">
        <f>IF(F8="","","OBS-"&amp;TEXT(ROW()-4,"000"))</f>
        <v/>
      </c>
      <c r="B8" s="4" t="n"/>
      <c r="C8" s="4" t="n"/>
      <c r="D8" s="4" t="n"/>
      <c r="E8" s="4" t="n"/>
      <c r="F8" s="4" t="n"/>
      <c r="G8" s="4" t="n"/>
      <c r="H8" s="4" t="n"/>
      <c r="I8" s="4" t="n"/>
      <c r="J8" s="4" t="n"/>
      <c r="K8" s="40" t="n"/>
      <c r="L8" s="4" t="n"/>
      <c r="M8" s="25" t="n"/>
      <c r="N8" s="55" t="n"/>
      <c r="O8" s="25" t="n"/>
      <c r="P8" s="55" t="n"/>
      <c r="Q8" s="25" t="n"/>
      <c r="R8" s="25" t="n"/>
    </row>
    <row r="9">
      <c r="A9" s="4">
        <f>IF(F9="","","OBS-"&amp;TEXT(ROW()-4,"000"))</f>
        <v/>
      </c>
      <c r="B9" s="4" t="n"/>
      <c r="C9" s="4" t="n"/>
      <c r="D9" s="4" t="n"/>
      <c r="E9" s="4" t="n"/>
      <c r="F9" s="4" t="n"/>
      <c r="G9" s="4" t="n"/>
      <c r="H9" s="4" t="n"/>
      <c r="I9" s="4" t="n"/>
      <c r="J9" s="4" t="n"/>
      <c r="K9" s="40" t="n"/>
      <c r="L9" s="4" t="n"/>
      <c r="M9" s="25" t="n"/>
      <c r="N9" s="55" t="n"/>
      <c r="O9" s="25" t="n"/>
      <c r="P9" s="55" t="n"/>
      <c r="Q9" s="25" t="n"/>
      <c r="R9" s="25" t="n"/>
    </row>
    <row r="10">
      <c r="A10" s="4">
        <f>IF(F10="","","OBS-"&amp;TEXT(ROW()-4,"000"))</f>
        <v/>
      </c>
      <c r="B10" s="4" t="n"/>
      <c r="C10" s="4" t="n"/>
      <c r="D10" s="4" t="n"/>
      <c r="E10" s="4" t="n"/>
      <c r="F10" s="4" t="n"/>
      <c r="G10" s="4" t="n"/>
      <c r="H10" s="4" t="n"/>
      <c r="I10" s="4" t="n"/>
      <c r="J10" s="4" t="n"/>
      <c r="K10" s="40" t="n"/>
      <c r="L10" s="4" t="n"/>
      <c r="M10" s="25" t="n"/>
      <c r="N10" s="55" t="n"/>
      <c r="O10" s="25" t="n"/>
      <c r="P10" s="55" t="n"/>
      <c r="Q10" s="25" t="n"/>
      <c r="R10" s="25" t="n"/>
    </row>
    <row r="11">
      <c r="A11" s="4">
        <f>IF(F11="","","OBS-"&amp;TEXT(ROW()-4,"000"))</f>
        <v/>
      </c>
      <c r="B11" s="4" t="n"/>
      <c r="C11" s="4" t="n"/>
      <c r="D11" s="4" t="n"/>
      <c r="E11" s="4" t="n"/>
      <c r="F11" s="4" t="n"/>
      <c r="G11" s="4" t="n"/>
      <c r="H11" s="4" t="n"/>
      <c r="I11" s="4" t="n"/>
      <c r="J11" s="4" t="n"/>
      <c r="K11" s="40" t="n"/>
      <c r="L11" s="4" t="n"/>
      <c r="M11" s="25" t="n"/>
      <c r="N11" s="55" t="n"/>
      <c r="O11" s="25" t="n"/>
      <c r="P11" s="55" t="n"/>
      <c r="Q11" s="25" t="n"/>
      <c r="R11" s="25" t="n"/>
    </row>
    <row r="12">
      <c r="A12" s="4">
        <f>IF(F12="","","OBS-"&amp;TEXT(ROW()-4,"000"))</f>
        <v/>
      </c>
      <c r="B12" s="4" t="n"/>
      <c r="C12" s="4" t="n"/>
      <c r="D12" s="4" t="n"/>
      <c r="E12" s="4" t="n"/>
      <c r="F12" s="4" t="n"/>
      <c r="G12" s="4" t="n"/>
      <c r="H12" s="4" t="n"/>
      <c r="I12" s="4" t="n"/>
      <c r="J12" s="4" t="n"/>
      <c r="K12" s="40" t="n"/>
      <c r="L12" s="4" t="n"/>
      <c r="M12" s="25" t="n"/>
      <c r="N12" s="55" t="n"/>
      <c r="O12" s="25" t="n"/>
      <c r="P12" s="55" t="n"/>
      <c r="Q12" s="25" t="n"/>
      <c r="R12" s="25" t="n"/>
    </row>
    <row r="13">
      <c r="A13" s="4">
        <f>IF(F13="","","OBS-"&amp;TEXT(ROW()-4,"000"))</f>
        <v/>
      </c>
      <c r="B13" s="4" t="n"/>
      <c r="C13" s="4" t="n"/>
      <c r="D13" s="4" t="n"/>
      <c r="E13" s="4" t="n"/>
      <c r="F13" s="4" t="n"/>
      <c r="G13" s="4" t="n"/>
      <c r="H13" s="4" t="n"/>
      <c r="I13" s="4" t="n"/>
      <c r="J13" s="4" t="n"/>
      <c r="K13" s="40" t="n"/>
      <c r="L13" s="4" t="n"/>
      <c r="M13" s="25" t="n"/>
      <c r="N13" s="55" t="n"/>
      <c r="O13" s="25" t="n"/>
      <c r="P13" s="55" t="n"/>
      <c r="Q13" s="25" t="n"/>
      <c r="R13" s="25" t="n"/>
    </row>
    <row r="14">
      <c r="A14" s="4">
        <f>IF(F14="","","OBS-"&amp;TEXT(ROW()-4,"000"))</f>
        <v/>
      </c>
      <c r="B14" s="4" t="n"/>
      <c r="C14" s="4" t="n"/>
      <c r="D14" s="4" t="n"/>
      <c r="E14" s="4" t="n"/>
      <c r="F14" s="4" t="n"/>
      <c r="G14" s="4" t="n"/>
      <c r="H14" s="4" t="n"/>
      <c r="I14" s="4" t="n"/>
      <c r="J14" s="4" t="n"/>
      <c r="K14" s="40" t="n"/>
      <c r="L14" s="4" t="n"/>
      <c r="M14" s="25" t="n"/>
      <c r="N14" s="55" t="n"/>
      <c r="O14" s="25" t="n"/>
      <c r="P14" s="55" t="n"/>
      <c r="Q14" s="25" t="n"/>
      <c r="R14" s="25" t="n"/>
    </row>
    <row r="15">
      <c r="A15" s="4">
        <f>IF(F15="","","OBS-"&amp;TEXT(ROW()-4,"000"))</f>
        <v/>
      </c>
      <c r="B15" s="4" t="n"/>
      <c r="C15" s="4" t="n"/>
      <c r="D15" s="4" t="n"/>
      <c r="E15" s="4" t="n"/>
      <c r="F15" s="4" t="n"/>
      <c r="G15" s="4" t="n"/>
      <c r="H15" s="4" t="n"/>
      <c r="I15" s="4" t="n"/>
      <c r="J15" s="4" t="n"/>
      <c r="K15" s="40" t="n"/>
      <c r="L15" s="4" t="n"/>
      <c r="M15" s="25" t="n"/>
      <c r="N15" s="55" t="n"/>
      <c r="O15" s="25" t="n"/>
      <c r="P15" s="55" t="n"/>
      <c r="Q15" s="25" t="n"/>
      <c r="R15" s="25" t="n"/>
    </row>
    <row r="16">
      <c r="A16" s="4">
        <f>IF(F16="","","OBS-"&amp;TEXT(ROW()-4,"000"))</f>
        <v/>
      </c>
      <c r="B16" s="4" t="n"/>
      <c r="C16" s="4" t="n"/>
      <c r="D16" s="4" t="n"/>
      <c r="E16" s="4" t="n"/>
      <c r="F16" s="4" t="n"/>
      <c r="G16" s="4" t="n"/>
      <c r="H16" s="4" t="n"/>
      <c r="I16" s="4" t="n"/>
      <c r="J16" s="4" t="n"/>
      <c r="K16" s="40" t="n"/>
      <c r="L16" s="4" t="n"/>
      <c r="M16" s="25" t="n"/>
      <c r="N16" s="55" t="n"/>
      <c r="O16" s="25" t="n"/>
      <c r="P16" s="55" t="n"/>
      <c r="Q16" s="25" t="n"/>
      <c r="R16" s="25" t="n"/>
    </row>
    <row r="17">
      <c r="A17" s="4">
        <f>IF(F17="","","OBS-"&amp;TEXT(ROW()-4,"000"))</f>
        <v/>
      </c>
      <c r="B17" s="4" t="n"/>
      <c r="C17" s="4" t="n"/>
      <c r="D17" s="4" t="n"/>
      <c r="E17" s="4" t="n"/>
      <c r="F17" s="4" t="n"/>
      <c r="G17" s="4" t="n"/>
      <c r="H17" s="4" t="n"/>
      <c r="I17" s="4" t="n"/>
      <c r="J17" s="4" t="n"/>
      <c r="K17" s="40" t="n"/>
      <c r="L17" s="4" t="n"/>
      <c r="M17" s="25" t="n"/>
      <c r="N17" s="55" t="n"/>
      <c r="O17" s="25" t="n"/>
      <c r="P17" s="55" t="n"/>
      <c r="Q17" s="25" t="n"/>
      <c r="R17" s="25" t="n"/>
    </row>
    <row r="18">
      <c r="A18" s="4">
        <f>IF(F18="","","OBS-"&amp;TEXT(ROW()-4,"000"))</f>
        <v/>
      </c>
      <c r="B18" s="4" t="n"/>
      <c r="C18" s="4" t="n"/>
      <c r="D18" s="4" t="n"/>
      <c r="E18" s="4" t="n"/>
      <c r="F18" s="4" t="n"/>
      <c r="G18" s="4" t="n"/>
      <c r="H18" s="4" t="n"/>
      <c r="I18" s="4" t="n"/>
      <c r="J18" s="4" t="n"/>
      <c r="K18" s="40" t="n"/>
      <c r="L18" s="4" t="n"/>
      <c r="M18" s="25" t="n"/>
      <c r="N18" s="55" t="n"/>
      <c r="O18" s="25" t="n"/>
      <c r="P18" s="55" t="n"/>
      <c r="Q18" s="25" t="n"/>
      <c r="R18" s="25" t="n"/>
    </row>
    <row r="19">
      <c r="A19" s="4">
        <f>IF(F19="","","OBS-"&amp;TEXT(ROW()-4,"000"))</f>
        <v/>
      </c>
      <c r="B19" s="4" t="n"/>
      <c r="C19" s="4" t="n"/>
      <c r="D19" s="4" t="n"/>
      <c r="E19" s="4" t="n"/>
      <c r="F19" s="4" t="n"/>
      <c r="G19" s="4" t="n"/>
      <c r="H19" s="4" t="n"/>
      <c r="I19" s="4" t="n"/>
      <c r="J19" s="4" t="n"/>
      <c r="K19" s="40" t="n"/>
      <c r="L19" s="4" t="n"/>
      <c r="M19" s="25" t="n"/>
      <c r="N19" s="55" t="n"/>
      <c r="O19" s="25" t="n"/>
      <c r="P19" s="55" t="n"/>
      <c r="Q19" s="25" t="n"/>
      <c r="R19" s="25" t="n"/>
    </row>
    <row r="20">
      <c r="A20" s="4">
        <f>IF(F20="","","OBS-"&amp;TEXT(ROW()-4,"000"))</f>
        <v/>
      </c>
      <c r="B20" s="4" t="n"/>
      <c r="C20" s="4" t="n"/>
      <c r="D20" s="4" t="n"/>
      <c r="E20" s="4" t="n"/>
      <c r="F20" s="4" t="n"/>
      <c r="G20" s="4" t="n"/>
      <c r="H20" s="4" t="n"/>
      <c r="I20" s="4" t="n"/>
      <c r="J20" s="4" t="n"/>
      <c r="K20" s="40" t="n"/>
      <c r="L20" s="4" t="n"/>
      <c r="M20" s="25" t="n"/>
      <c r="N20" s="55" t="n"/>
      <c r="O20" s="25" t="n"/>
      <c r="P20" s="55" t="n"/>
      <c r="Q20" s="25" t="n"/>
      <c r="R20" s="25" t="n"/>
    </row>
    <row r="21">
      <c r="A21" s="4">
        <f>IF(F21="","","OBS-"&amp;TEXT(ROW()-4,"000"))</f>
        <v/>
      </c>
      <c r="B21" s="4" t="n"/>
      <c r="C21" s="4" t="n"/>
      <c r="D21" s="4" t="n"/>
      <c r="E21" s="4" t="n"/>
      <c r="F21" s="4" t="n"/>
      <c r="G21" s="4" t="n"/>
      <c r="H21" s="4" t="n"/>
      <c r="I21" s="4" t="n"/>
      <c r="J21" s="4" t="n"/>
      <c r="K21" s="40" t="n"/>
      <c r="L21" s="4" t="n"/>
      <c r="M21" s="25" t="n"/>
      <c r="N21" s="55" t="n"/>
      <c r="O21" s="25" t="n"/>
      <c r="P21" s="55" t="n"/>
      <c r="Q21" s="25" t="n"/>
      <c r="R21" s="25" t="n"/>
    </row>
    <row r="22">
      <c r="A22" s="4">
        <f>IF(F22="","","OBS-"&amp;TEXT(ROW()-4,"000"))</f>
        <v/>
      </c>
      <c r="B22" s="4" t="n"/>
      <c r="C22" s="4" t="n"/>
      <c r="D22" s="4" t="n"/>
      <c r="E22" s="4" t="n"/>
      <c r="F22" s="4" t="n"/>
      <c r="G22" s="4" t="n"/>
      <c r="H22" s="4" t="n"/>
      <c r="I22" s="4" t="n"/>
      <c r="J22" s="4" t="n"/>
      <c r="K22" s="40" t="n"/>
      <c r="L22" s="4" t="n"/>
      <c r="M22" s="25" t="n"/>
      <c r="N22" s="55" t="n"/>
      <c r="O22" s="25" t="n"/>
      <c r="P22" s="55" t="n"/>
      <c r="Q22" s="25" t="n"/>
      <c r="R22" s="25" t="n"/>
    </row>
    <row r="23">
      <c r="A23" s="4">
        <f>IF(F23="","","OBS-"&amp;TEXT(ROW()-4,"000"))</f>
        <v/>
      </c>
      <c r="B23" s="4" t="n"/>
      <c r="C23" s="4" t="n"/>
      <c r="D23" s="4" t="n"/>
      <c r="E23" s="4" t="n"/>
      <c r="F23" s="4" t="n"/>
      <c r="G23" s="4" t="n"/>
      <c r="H23" s="4" t="n"/>
      <c r="I23" s="4" t="n"/>
      <c r="J23" s="4" t="n"/>
      <c r="K23" s="40" t="n"/>
      <c r="L23" s="4" t="n"/>
      <c r="M23" s="25" t="n"/>
      <c r="N23" s="55" t="n"/>
      <c r="O23" s="25" t="n"/>
      <c r="P23" s="55" t="n"/>
      <c r="Q23" s="25" t="n"/>
      <c r="R23" s="25" t="n"/>
    </row>
    <row r="24">
      <c r="A24" s="4">
        <f>IF(F24="","","OBS-"&amp;TEXT(ROW()-4,"000"))</f>
        <v/>
      </c>
      <c r="B24" s="4" t="n"/>
      <c r="C24" s="4" t="n"/>
      <c r="D24" s="4" t="n"/>
      <c r="E24" s="4" t="n"/>
      <c r="F24" s="4" t="n"/>
      <c r="G24" s="4" t="n"/>
      <c r="H24" s="4" t="n"/>
      <c r="I24" s="4" t="n"/>
      <c r="J24" s="4" t="n"/>
      <c r="K24" s="40" t="n"/>
      <c r="L24" s="4" t="n"/>
      <c r="M24" s="25" t="n"/>
      <c r="N24" s="55" t="n"/>
      <c r="O24" s="25" t="n"/>
      <c r="P24" s="55" t="n"/>
      <c r="Q24" s="25" t="n"/>
      <c r="R24" s="25" t="n"/>
    </row>
    <row r="25">
      <c r="A25" s="4">
        <f>IF(F25="","","OBS-"&amp;TEXT(ROW()-4,"000"))</f>
        <v/>
      </c>
      <c r="B25" s="4" t="n"/>
      <c r="C25" s="4" t="n"/>
      <c r="D25" s="4" t="n"/>
      <c r="E25" s="4" t="n"/>
      <c r="F25" s="4" t="n"/>
      <c r="G25" s="4" t="n"/>
      <c r="H25" s="4" t="n"/>
      <c r="I25" s="4" t="n"/>
      <c r="J25" s="4" t="n"/>
      <c r="K25" s="40" t="n"/>
      <c r="L25" s="4" t="n"/>
      <c r="M25" s="25" t="n"/>
      <c r="N25" s="55" t="n"/>
      <c r="O25" s="25" t="n"/>
      <c r="P25" s="55" t="n"/>
      <c r="Q25" s="25" t="n"/>
      <c r="R25" s="25" t="n"/>
    </row>
    <row r="26">
      <c r="A26" s="4">
        <f>IF(F26="","","OBS-"&amp;TEXT(ROW()-4,"000"))</f>
        <v/>
      </c>
      <c r="B26" s="4" t="n"/>
      <c r="C26" s="4" t="n"/>
      <c r="D26" s="4" t="n"/>
      <c r="E26" s="4" t="n"/>
      <c r="F26" s="4" t="n"/>
      <c r="G26" s="4" t="n"/>
      <c r="H26" s="4" t="n"/>
      <c r="I26" s="4" t="n"/>
      <c r="J26" s="4" t="n"/>
      <c r="K26" s="40" t="n"/>
      <c r="L26" s="4" t="n"/>
      <c r="M26" s="25" t="n"/>
      <c r="N26" s="55" t="n"/>
      <c r="O26" s="25" t="n"/>
      <c r="P26" s="55" t="n"/>
      <c r="Q26" s="25" t="n"/>
      <c r="R26" s="25" t="n"/>
    </row>
    <row r="27">
      <c r="A27" s="4">
        <f>IF(F27="","","OBS-"&amp;TEXT(ROW()-4,"000"))</f>
        <v/>
      </c>
      <c r="B27" s="4" t="n"/>
      <c r="C27" s="4" t="n"/>
      <c r="D27" s="4" t="n"/>
      <c r="E27" s="4" t="n"/>
      <c r="F27" s="4" t="n"/>
      <c r="G27" s="4" t="n"/>
      <c r="H27" s="4" t="n"/>
      <c r="I27" s="4" t="n"/>
      <c r="J27" s="4" t="n"/>
      <c r="K27" s="40" t="n"/>
      <c r="L27" s="4" t="n"/>
      <c r="M27" s="25" t="n"/>
      <c r="N27" s="55" t="n"/>
      <c r="O27" s="25" t="n"/>
      <c r="P27" s="55" t="n"/>
      <c r="Q27" s="25" t="n"/>
      <c r="R27" s="25" t="n"/>
    </row>
    <row r="28">
      <c r="A28" s="4">
        <f>IF(F28="","","OBS-"&amp;TEXT(ROW()-4,"000"))</f>
        <v/>
      </c>
      <c r="B28" s="4" t="n"/>
      <c r="C28" s="4" t="n"/>
      <c r="D28" s="4" t="n"/>
      <c r="E28" s="4" t="n"/>
      <c r="F28" s="4" t="n"/>
      <c r="G28" s="4" t="n"/>
      <c r="H28" s="4" t="n"/>
      <c r="I28" s="4" t="n"/>
      <c r="J28" s="4" t="n"/>
      <c r="K28" s="40" t="n"/>
      <c r="L28" s="4" t="n"/>
      <c r="M28" s="25" t="n"/>
      <c r="N28" s="55" t="n"/>
      <c r="O28" s="25" t="n"/>
      <c r="P28" s="55" t="n"/>
      <c r="Q28" s="25" t="n"/>
      <c r="R28" s="25" t="n"/>
    </row>
    <row r="29">
      <c r="A29" s="4">
        <f>IF(F29="","","OBS-"&amp;TEXT(ROW()-4,"000"))</f>
        <v/>
      </c>
      <c r="B29" s="4" t="n"/>
      <c r="C29" s="4" t="n"/>
      <c r="D29" s="4" t="n"/>
      <c r="E29" s="4" t="n"/>
      <c r="F29" s="4" t="n"/>
      <c r="G29" s="4" t="n"/>
      <c r="H29" s="4" t="n"/>
      <c r="I29" s="4" t="n"/>
      <c r="J29" s="4" t="n"/>
      <c r="K29" s="40" t="n"/>
      <c r="L29" s="4" t="n"/>
      <c r="M29" s="25" t="n"/>
      <c r="N29" s="55" t="n"/>
      <c r="O29" s="25" t="n"/>
      <c r="P29" s="55" t="n"/>
      <c r="Q29" s="25" t="n"/>
      <c r="R29" s="25" t="n"/>
    </row>
    <row r="30">
      <c r="A30" s="4">
        <f>IF(F30="","","OBS-"&amp;TEXT(ROW()-4,"000"))</f>
        <v/>
      </c>
      <c r="B30" s="4" t="n"/>
      <c r="C30" s="4" t="n"/>
      <c r="D30" s="4" t="n"/>
      <c r="E30" s="4" t="n"/>
      <c r="F30" s="4" t="n"/>
      <c r="G30" s="4" t="n"/>
      <c r="H30" s="4" t="n"/>
      <c r="I30" s="4" t="n"/>
      <c r="J30" s="4" t="n"/>
      <c r="K30" s="40" t="n"/>
      <c r="L30" s="4" t="n"/>
      <c r="M30" s="25" t="n"/>
      <c r="N30" s="55" t="n"/>
      <c r="O30" s="25" t="n"/>
      <c r="P30" s="55" t="n"/>
      <c r="Q30" s="25" t="n"/>
      <c r="R30" s="25" t="n"/>
    </row>
    <row r="31">
      <c r="A31" s="4">
        <f>IF(F31="","","OBS-"&amp;TEXT(ROW()-4,"000"))</f>
        <v/>
      </c>
      <c r="B31" s="4" t="n"/>
      <c r="C31" s="4" t="n"/>
      <c r="D31" s="4" t="n"/>
      <c r="E31" s="4" t="n"/>
      <c r="F31" s="4" t="n"/>
      <c r="G31" s="4" t="n"/>
      <c r="H31" s="4" t="n"/>
      <c r="I31" s="4" t="n"/>
      <c r="J31" s="4" t="n"/>
      <c r="K31" s="40" t="n"/>
      <c r="L31" s="4" t="n"/>
      <c r="M31" s="25" t="n"/>
      <c r="N31" s="55" t="n"/>
      <c r="O31" s="25" t="n"/>
      <c r="P31" s="55" t="n"/>
      <c r="Q31" s="25" t="n"/>
      <c r="R31" s="25" t="n"/>
    </row>
    <row r="32">
      <c r="A32" s="4">
        <f>IF(F32="","","OBS-"&amp;TEXT(ROW()-4,"000"))</f>
        <v/>
      </c>
      <c r="B32" s="4" t="n"/>
      <c r="C32" s="4" t="n"/>
      <c r="D32" s="4" t="n"/>
      <c r="E32" s="4" t="n"/>
      <c r="F32" s="4" t="n"/>
      <c r="G32" s="4" t="n"/>
      <c r="H32" s="4" t="n"/>
      <c r="I32" s="4" t="n"/>
      <c r="J32" s="4" t="n"/>
      <c r="K32" s="40" t="n"/>
      <c r="L32" s="4" t="n"/>
      <c r="M32" s="25" t="n"/>
      <c r="N32" s="55" t="n"/>
      <c r="O32" s="25" t="n"/>
      <c r="P32" s="55" t="n"/>
      <c r="Q32" s="25" t="n"/>
      <c r="R32" s="25" t="n"/>
    </row>
    <row r="33">
      <c r="A33" s="4">
        <f>IF(F33="","","OBS-"&amp;TEXT(ROW()-4,"000"))</f>
        <v/>
      </c>
      <c r="B33" s="4" t="n"/>
      <c r="C33" s="4" t="n"/>
      <c r="D33" s="4" t="n"/>
      <c r="E33" s="4" t="n"/>
      <c r="F33" s="4" t="n"/>
      <c r="G33" s="4" t="n"/>
      <c r="H33" s="4" t="n"/>
      <c r="I33" s="4" t="n"/>
      <c r="J33" s="4" t="n"/>
      <c r="K33" s="40" t="n"/>
      <c r="L33" s="4" t="n"/>
      <c r="M33" s="25" t="n"/>
      <c r="N33" s="55" t="n"/>
      <c r="O33" s="25" t="n"/>
      <c r="P33" s="55" t="n"/>
      <c r="Q33" s="25" t="n"/>
      <c r="R33" s="25" t="n"/>
    </row>
    <row r="34">
      <c r="A34" s="4">
        <f>IF(F34="","","OBS-"&amp;TEXT(ROW()-4,"000"))</f>
        <v/>
      </c>
      <c r="B34" s="4" t="n"/>
      <c r="C34" s="4" t="n"/>
      <c r="D34" s="4" t="n"/>
      <c r="E34" s="4" t="n"/>
      <c r="F34" s="4" t="n"/>
      <c r="G34" s="4" t="n"/>
      <c r="H34" s="4" t="n"/>
      <c r="I34" s="4" t="n"/>
      <c r="J34" s="4" t="n"/>
      <c r="K34" s="40" t="n"/>
      <c r="L34" s="4" t="n"/>
      <c r="M34" s="25" t="n"/>
      <c r="N34" s="55" t="n"/>
      <c r="O34" s="25" t="n"/>
      <c r="P34" s="55" t="n"/>
      <c r="Q34" s="25" t="n"/>
      <c r="R34" s="25" t="n"/>
    </row>
    <row r="35">
      <c r="A35" s="4">
        <f>IF(F35="","","OBS-"&amp;TEXT(ROW()-4,"000"))</f>
        <v/>
      </c>
      <c r="B35" s="4" t="n"/>
      <c r="C35" s="4" t="n"/>
      <c r="D35" s="4" t="n"/>
      <c r="E35" s="4" t="n"/>
      <c r="F35" s="4" t="n"/>
      <c r="G35" s="4" t="n"/>
      <c r="H35" s="4" t="n"/>
      <c r="I35" s="4" t="n"/>
      <c r="J35" s="4" t="n"/>
      <c r="K35" s="40" t="n"/>
      <c r="L35" s="4" t="n"/>
      <c r="M35" s="25" t="n"/>
      <c r="N35" s="55" t="n"/>
      <c r="O35" s="25" t="n"/>
      <c r="P35" s="55" t="n"/>
      <c r="Q35" s="25" t="n"/>
      <c r="R35" s="25" t="n"/>
    </row>
    <row r="36">
      <c r="A36" s="4">
        <f>IF(F36="","","OBS-"&amp;TEXT(ROW()-4,"000"))</f>
        <v/>
      </c>
      <c r="B36" s="4" t="n"/>
      <c r="C36" s="4" t="n"/>
      <c r="D36" s="4" t="n"/>
      <c r="E36" s="4" t="n"/>
      <c r="F36" s="4" t="n"/>
      <c r="G36" s="4" t="n"/>
      <c r="H36" s="4" t="n"/>
      <c r="I36" s="4" t="n"/>
      <c r="J36" s="4" t="n"/>
      <c r="K36" s="40" t="n"/>
      <c r="L36" s="4" t="n"/>
      <c r="M36" s="25" t="n"/>
      <c r="N36" s="55" t="n"/>
      <c r="O36" s="25" t="n"/>
      <c r="P36" s="55" t="n"/>
      <c r="Q36" s="25" t="n"/>
      <c r="R36" s="25" t="n"/>
    </row>
    <row r="37">
      <c r="A37" s="4">
        <f>IF(F37="","","OBS-"&amp;TEXT(ROW()-4,"000"))</f>
        <v/>
      </c>
      <c r="B37" s="4" t="n"/>
      <c r="C37" s="4" t="n"/>
      <c r="D37" s="4" t="n"/>
      <c r="E37" s="4" t="n"/>
      <c r="F37" s="4" t="n"/>
      <c r="G37" s="4" t="n"/>
      <c r="H37" s="4" t="n"/>
      <c r="I37" s="4" t="n"/>
      <c r="J37" s="4" t="n"/>
      <c r="K37" s="40" t="n"/>
      <c r="L37" s="4" t="n"/>
      <c r="M37" s="25" t="n"/>
      <c r="N37" s="55" t="n"/>
      <c r="O37" s="25" t="n"/>
      <c r="P37" s="55" t="n"/>
      <c r="Q37" s="25" t="n"/>
      <c r="R37" s="25" t="n"/>
    </row>
    <row r="38">
      <c r="A38" s="4">
        <f>IF(F38="","","OBS-"&amp;TEXT(ROW()-4,"000"))</f>
        <v/>
      </c>
      <c r="B38" s="4" t="n"/>
      <c r="C38" s="4" t="n"/>
      <c r="D38" s="4" t="n"/>
      <c r="E38" s="4" t="n"/>
      <c r="F38" s="4" t="n"/>
      <c r="G38" s="4" t="n"/>
      <c r="H38" s="4" t="n"/>
      <c r="I38" s="4" t="n"/>
      <c r="J38" s="4" t="n"/>
      <c r="K38" s="40" t="n"/>
      <c r="L38" s="4" t="n"/>
      <c r="M38" s="25" t="n"/>
      <c r="N38" s="55" t="n"/>
      <c r="O38" s="25" t="n"/>
      <c r="P38" s="55" t="n"/>
      <c r="Q38" s="25" t="n"/>
      <c r="R38" s="25" t="n"/>
    </row>
    <row r="39">
      <c r="A39" s="4">
        <f>IF(F39="","","OBS-"&amp;TEXT(ROW()-4,"000"))</f>
        <v/>
      </c>
      <c r="B39" s="4" t="n"/>
      <c r="C39" s="4" t="n"/>
      <c r="D39" s="4" t="n"/>
      <c r="E39" s="4" t="n"/>
      <c r="F39" s="4" t="n"/>
      <c r="G39" s="4" t="n"/>
      <c r="H39" s="4" t="n"/>
      <c r="I39" s="4" t="n"/>
      <c r="J39" s="4" t="n"/>
      <c r="K39" s="40" t="n"/>
      <c r="L39" s="4" t="n"/>
      <c r="M39" s="25" t="n"/>
      <c r="N39" s="55" t="n"/>
      <c r="O39" s="25" t="n"/>
      <c r="P39" s="55" t="n"/>
      <c r="Q39" s="25" t="n"/>
      <c r="R39" s="25" t="n"/>
    </row>
    <row r="40">
      <c r="A40" s="4">
        <f>IF(F40="","","OBS-"&amp;TEXT(ROW()-4,"000"))</f>
        <v/>
      </c>
      <c r="B40" s="4" t="n"/>
      <c r="C40" s="4" t="n"/>
      <c r="D40" s="4" t="n"/>
      <c r="E40" s="4" t="n"/>
      <c r="F40" s="4" t="n"/>
      <c r="G40" s="4" t="n"/>
      <c r="H40" s="4" t="n"/>
      <c r="I40" s="4" t="n"/>
      <c r="J40" s="4" t="n"/>
      <c r="K40" s="40" t="n"/>
      <c r="L40" s="4" t="n"/>
      <c r="M40" s="25" t="n"/>
      <c r="N40" s="55" t="n"/>
      <c r="O40" s="25" t="n"/>
      <c r="P40" s="55" t="n"/>
      <c r="Q40" s="25" t="n"/>
      <c r="R40" s="25" t="n"/>
    </row>
    <row r="41">
      <c r="A41" s="4">
        <f>IF(F41="","","OBS-"&amp;TEXT(ROW()-4,"000"))</f>
        <v/>
      </c>
      <c r="B41" s="4" t="n"/>
      <c r="C41" s="4" t="n"/>
      <c r="D41" s="4" t="n"/>
      <c r="E41" s="4" t="n"/>
      <c r="F41" s="4" t="n"/>
      <c r="G41" s="4" t="n"/>
      <c r="H41" s="4" t="n"/>
      <c r="I41" s="4" t="n"/>
      <c r="J41" s="4" t="n"/>
      <c r="K41" s="40" t="n"/>
      <c r="L41" s="4" t="n"/>
      <c r="M41" s="25" t="n"/>
      <c r="N41" s="55" t="n"/>
      <c r="O41" s="25" t="n"/>
      <c r="P41" s="55" t="n"/>
      <c r="Q41" s="25" t="n"/>
      <c r="R41" s="25" t="n"/>
    </row>
    <row r="42">
      <c r="A42" s="4">
        <f>IF(F42="","","OBS-"&amp;TEXT(ROW()-4,"000"))</f>
        <v/>
      </c>
      <c r="B42" s="4" t="n"/>
      <c r="C42" s="4" t="n"/>
      <c r="D42" s="4" t="n"/>
      <c r="E42" s="4" t="n"/>
      <c r="F42" s="4" t="n"/>
      <c r="G42" s="4" t="n"/>
      <c r="H42" s="4" t="n"/>
      <c r="I42" s="4" t="n"/>
      <c r="J42" s="4" t="n"/>
      <c r="K42" s="40" t="n"/>
      <c r="L42" s="4" t="n"/>
      <c r="M42" s="25" t="n"/>
      <c r="N42" s="55" t="n"/>
      <c r="O42" s="25" t="n"/>
      <c r="P42" s="55" t="n"/>
      <c r="Q42" s="25" t="n"/>
      <c r="R42" s="25" t="n"/>
    </row>
    <row r="43">
      <c r="A43" s="4">
        <f>IF(F43="","","OBS-"&amp;TEXT(ROW()-4,"000"))</f>
        <v/>
      </c>
      <c r="B43" s="4" t="n"/>
      <c r="C43" s="4" t="n"/>
      <c r="D43" s="4" t="n"/>
      <c r="E43" s="4" t="n"/>
      <c r="F43" s="4" t="n"/>
      <c r="G43" s="4" t="n"/>
      <c r="H43" s="4" t="n"/>
      <c r="I43" s="4" t="n"/>
      <c r="J43" s="4" t="n"/>
      <c r="K43" s="40" t="n"/>
      <c r="L43" s="4" t="n"/>
      <c r="M43" s="25" t="n"/>
      <c r="N43" s="55" t="n"/>
      <c r="O43" s="25" t="n"/>
      <c r="P43" s="55" t="n"/>
      <c r="Q43" s="25" t="n"/>
      <c r="R43" s="25" t="n"/>
    </row>
    <row r="44">
      <c r="A44" s="4">
        <f>IF(F44="","","OBS-"&amp;TEXT(ROW()-4,"000"))</f>
        <v/>
      </c>
      <c r="B44" s="4" t="n"/>
      <c r="C44" s="4" t="n"/>
      <c r="D44" s="4" t="n"/>
      <c r="E44" s="4" t="n"/>
      <c r="F44" s="4" t="n"/>
      <c r="G44" s="4" t="n"/>
      <c r="H44" s="4" t="n"/>
      <c r="I44" s="4" t="n"/>
      <c r="J44" s="4" t="n"/>
      <c r="K44" s="40" t="n"/>
      <c r="L44" s="4" t="n"/>
      <c r="M44" s="25" t="n"/>
      <c r="N44" s="55" t="n"/>
      <c r="O44" s="25" t="n"/>
      <c r="P44" s="55" t="n"/>
      <c r="Q44" s="25" t="n"/>
      <c r="R44" s="25" t="n"/>
    </row>
    <row r="45">
      <c r="A45" s="4">
        <f>IF(F45="","","OBS-"&amp;TEXT(ROW()-4,"000"))</f>
        <v/>
      </c>
      <c r="B45" s="4" t="n"/>
      <c r="C45" s="4" t="n"/>
      <c r="D45" s="4" t="n"/>
      <c r="E45" s="4" t="n"/>
      <c r="F45" s="4" t="n"/>
      <c r="G45" s="4" t="n"/>
      <c r="H45" s="4" t="n"/>
      <c r="I45" s="4" t="n"/>
      <c r="J45" s="4" t="n"/>
      <c r="K45" s="40" t="n"/>
      <c r="L45" s="4" t="n"/>
      <c r="M45" s="25" t="n"/>
      <c r="N45" s="55" t="n"/>
      <c r="O45" s="25" t="n"/>
      <c r="P45" s="55" t="n"/>
      <c r="Q45" s="25" t="n"/>
      <c r="R45" s="25" t="n"/>
    </row>
    <row r="46">
      <c r="A46" s="4">
        <f>IF(F46="","","OBS-"&amp;TEXT(ROW()-4,"000"))</f>
        <v/>
      </c>
      <c r="B46" s="4" t="n"/>
      <c r="C46" s="4" t="n"/>
      <c r="D46" s="4" t="n"/>
      <c r="E46" s="4" t="n"/>
      <c r="F46" s="4" t="n"/>
      <c r="G46" s="4" t="n"/>
      <c r="H46" s="4" t="n"/>
      <c r="I46" s="4" t="n"/>
      <c r="J46" s="4" t="n"/>
      <c r="K46" s="40" t="n"/>
      <c r="L46" s="4" t="n"/>
      <c r="M46" s="25" t="n"/>
      <c r="N46" s="55" t="n"/>
      <c r="O46" s="25" t="n"/>
      <c r="P46" s="55" t="n"/>
      <c r="Q46" s="25" t="n"/>
      <c r="R46" s="25" t="n"/>
    </row>
    <row r="47">
      <c r="A47" s="4">
        <f>IF(F47="","","OBS-"&amp;TEXT(ROW()-4,"000"))</f>
        <v/>
      </c>
      <c r="B47" s="4" t="n"/>
      <c r="C47" s="4" t="n"/>
      <c r="D47" s="4" t="n"/>
      <c r="E47" s="4" t="n"/>
      <c r="F47" s="4" t="n"/>
      <c r="G47" s="4" t="n"/>
      <c r="H47" s="4" t="n"/>
      <c r="I47" s="4" t="n"/>
      <c r="J47" s="4" t="n"/>
      <c r="K47" s="40" t="n"/>
      <c r="L47" s="4" t="n"/>
      <c r="M47" s="25" t="n"/>
      <c r="N47" s="55" t="n"/>
      <c r="O47" s="25" t="n"/>
      <c r="P47" s="55" t="n"/>
      <c r="Q47" s="25" t="n"/>
      <c r="R47" s="25" t="n"/>
    </row>
    <row r="48">
      <c r="A48" s="4">
        <f>IF(F48="","","OBS-"&amp;TEXT(ROW()-4,"000"))</f>
        <v/>
      </c>
      <c r="B48" s="4" t="n"/>
      <c r="C48" s="4" t="n"/>
      <c r="D48" s="4" t="n"/>
      <c r="E48" s="4" t="n"/>
      <c r="F48" s="4" t="n"/>
      <c r="G48" s="4" t="n"/>
      <c r="H48" s="4" t="n"/>
      <c r="I48" s="4" t="n"/>
      <c r="J48" s="4" t="n"/>
      <c r="K48" s="40" t="n"/>
      <c r="L48" s="4" t="n"/>
      <c r="M48" s="25" t="n"/>
      <c r="N48" s="55" t="n"/>
      <c r="O48" s="25" t="n"/>
      <c r="P48" s="55" t="n"/>
      <c r="Q48" s="25" t="n"/>
      <c r="R48" s="25" t="n"/>
    </row>
    <row r="49">
      <c r="A49" s="4">
        <f>IF(F49="","","OBS-"&amp;TEXT(ROW()-4,"000"))</f>
        <v/>
      </c>
      <c r="B49" s="4" t="n"/>
      <c r="C49" s="4" t="n"/>
      <c r="D49" s="4" t="n"/>
      <c r="E49" s="4" t="n"/>
      <c r="F49" s="4" t="n"/>
      <c r="G49" s="4" t="n"/>
      <c r="H49" s="4" t="n"/>
      <c r="I49" s="4" t="n"/>
      <c r="J49" s="4" t="n"/>
      <c r="K49" s="40" t="n"/>
      <c r="L49" s="4" t="n"/>
      <c r="M49" s="25" t="n"/>
      <c r="N49" s="55" t="n"/>
      <c r="O49" s="25" t="n"/>
      <c r="P49" s="55" t="n"/>
      <c r="Q49" s="25" t="n"/>
      <c r="R49" s="25" t="n"/>
    </row>
    <row r="50">
      <c r="A50" s="4">
        <f>IF(F50="","","OBS-"&amp;TEXT(ROW()-4,"000"))</f>
        <v/>
      </c>
      <c r="B50" s="4" t="n"/>
      <c r="C50" s="4" t="n"/>
      <c r="D50" s="4" t="n"/>
      <c r="E50" s="4" t="n"/>
      <c r="F50" s="4" t="n"/>
      <c r="G50" s="4" t="n"/>
      <c r="H50" s="4" t="n"/>
      <c r="I50" s="4" t="n"/>
      <c r="J50" s="4" t="n"/>
      <c r="K50" s="40" t="n"/>
      <c r="L50" s="4" t="n"/>
      <c r="M50" s="25" t="n"/>
      <c r="N50" s="55" t="n"/>
      <c r="O50" s="25" t="n"/>
      <c r="P50" s="55" t="n"/>
      <c r="Q50" s="25" t="n"/>
      <c r="R50" s="25" t="n"/>
    </row>
    <row r="51">
      <c r="A51" s="4">
        <f>IF(F51="","","OBS-"&amp;TEXT(ROW()-4,"000"))</f>
        <v/>
      </c>
      <c r="B51" s="4" t="n"/>
      <c r="C51" s="4" t="n"/>
      <c r="D51" s="4" t="n"/>
      <c r="E51" s="4" t="n"/>
      <c r="F51" s="4" t="n"/>
      <c r="G51" s="4" t="n"/>
      <c r="H51" s="4" t="n"/>
      <c r="I51" s="4" t="n"/>
      <c r="J51" s="4" t="n"/>
      <c r="K51" s="40" t="n"/>
      <c r="L51" s="4" t="n"/>
      <c r="M51" s="25" t="n"/>
      <c r="N51" s="55" t="n"/>
      <c r="O51" s="25" t="n"/>
      <c r="P51" s="55" t="n"/>
      <c r="Q51" s="25" t="n"/>
      <c r="R51" s="25" t="n"/>
    </row>
    <row r="52">
      <c r="A52" s="4">
        <f>IF(F52="","","OBS-"&amp;TEXT(ROW()-4,"000"))</f>
        <v/>
      </c>
      <c r="B52" s="4" t="n"/>
      <c r="C52" s="4" t="n"/>
      <c r="D52" s="4" t="n"/>
      <c r="E52" s="4" t="n"/>
      <c r="F52" s="4" t="n"/>
      <c r="G52" s="4" t="n"/>
      <c r="H52" s="4" t="n"/>
      <c r="I52" s="4" t="n"/>
      <c r="J52" s="4" t="n"/>
      <c r="K52" s="40" t="n"/>
      <c r="L52" s="4" t="n"/>
      <c r="M52" s="25" t="n"/>
      <c r="N52" s="55" t="n"/>
      <c r="O52" s="25" t="n"/>
      <c r="P52" s="55" t="n"/>
      <c r="Q52" s="25" t="n"/>
      <c r="R52" s="25" t="n"/>
    </row>
    <row r="53">
      <c r="A53" s="4">
        <f>IF(F53="","","OBS-"&amp;TEXT(ROW()-4,"000"))</f>
        <v/>
      </c>
      <c r="B53" s="4" t="n"/>
      <c r="C53" s="4" t="n"/>
      <c r="D53" s="4" t="n"/>
      <c r="E53" s="4" t="n"/>
      <c r="F53" s="4" t="n"/>
      <c r="G53" s="4" t="n"/>
      <c r="H53" s="4" t="n"/>
      <c r="I53" s="4" t="n"/>
      <c r="J53" s="4" t="n"/>
      <c r="K53" s="40" t="n"/>
      <c r="L53" s="4" t="n"/>
      <c r="M53" s="25" t="n"/>
      <c r="N53" s="55" t="n"/>
      <c r="O53" s="25" t="n"/>
      <c r="P53" s="55" t="n"/>
      <c r="Q53" s="25" t="n"/>
      <c r="R53" s="25" t="n"/>
    </row>
    <row r="54">
      <c r="A54" s="4">
        <f>IF(F54="","","OBS-"&amp;TEXT(ROW()-4,"000"))</f>
        <v/>
      </c>
      <c r="B54" s="4" t="n"/>
      <c r="C54" s="4" t="n"/>
      <c r="D54" s="4" t="n"/>
      <c r="E54" s="4" t="n"/>
      <c r="F54" s="4" t="n"/>
      <c r="G54" s="4" t="n"/>
      <c r="H54" s="4" t="n"/>
      <c r="I54" s="4" t="n"/>
      <c r="J54" s="4" t="n"/>
      <c r="K54" s="40" t="n"/>
      <c r="L54" s="4" t="n"/>
      <c r="M54" s="25" t="n"/>
      <c r="N54" s="55" t="n"/>
      <c r="O54" s="25" t="n"/>
      <c r="P54" s="55" t="n"/>
      <c r="Q54" s="25" t="n"/>
      <c r="R54" s="25" t="n"/>
    </row>
    <row r="55">
      <c r="A55" s="4">
        <f>IF(F55="","","OBS-"&amp;TEXT(ROW()-4,"000"))</f>
        <v/>
      </c>
      <c r="B55" s="4" t="n"/>
      <c r="C55" s="4" t="n"/>
      <c r="D55" s="4" t="n"/>
      <c r="E55" s="4" t="n"/>
      <c r="F55" s="4" t="n"/>
      <c r="G55" s="4" t="n"/>
      <c r="H55" s="4" t="n"/>
      <c r="I55" s="4" t="n"/>
      <c r="J55" s="4" t="n"/>
      <c r="K55" s="40" t="n"/>
      <c r="L55" s="4" t="n"/>
      <c r="M55" s="25" t="n"/>
      <c r="N55" s="55" t="n"/>
      <c r="O55" s="25" t="n"/>
      <c r="P55" s="55" t="n"/>
      <c r="Q55" s="25" t="n"/>
      <c r="R55" s="25" t="n"/>
    </row>
    <row r="56">
      <c r="A56" s="4">
        <f>IF(F56="","","OBS-"&amp;TEXT(ROW()-4,"000"))</f>
        <v/>
      </c>
      <c r="B56" s="4" t="n"/>
      <c r="C56" s="4" t="n"/>
      <c r="D56" s="4" t="n"/>
      <c r="E56" s="4" t="n"/>
      <c r="F56" s="4" t="n"/>
      <c r="G56" s="4" t="n"/>
      <c r="H56" s="4" t="n"/>
      <c r="I56" s="4" t="n"/>
      <c r="J56" s="4" t="n"/>
      <c r="K56" s="40" t="n"/>
      <c r="L56" s="4" t="n"/>
      <c r="M56" s="25" t="n"/>
      <c r="N56" s="55" t="n"/>
      <c r="O56" s="25" t="n"/>
      <c r="P56" s="55" t="n"/>
      <c r="Q56" s="25" t="n"/>
      <c r="R56" s="25" t="n"/>
    </row>
    <row r="57">
      <c r="A57" s="4">
        <f>IF(F57="","","OBS-"&amp;TEXT(ROW()-4,"000"))</f>
        <v/>
      </c>
      <c r="B57" s="4" t="n"/>
      <c r="C57" s="4" t="n"/>
      <c r="D57" s="4" t="n"/>
      <c r="E57" s="4" t="n"/>
      <c r="F57" s="4" t="n"/>
      <c r="G57" s="4" t="n"/>
      <c r="H57" s="4" t="n"/>
      <c r="I57" s="4" t="n"/>
      <c r="J57" s="4" t="n"/>
      <c r="K57" s="40" t="n"/>
      <c r="L57" s="4" t="n"/>
      <c r="M57" s="25" t="n"/>
      <c r="N57" s="55" t="n"/>
      <c r="O57" s="25" t="n"/>
      <c r="P57" s="55" t="n"/>
      <c r="Q57" s="25" t="n"/>
      <c r="R57" s="25" t="n"/>
    </row>
    <row r="58">
      <c r="A58" s="4">
        <f>IF(F58="","","OBS-"&amp;TEXT(ROW()-4,"000"))</f>
        <v/>
      </c>
      <c r="B58" s="4" t="n"/>
      <c r="C58" s="4" t="n"/>
      <c r="D58" s="4" t="n"/>
      <c r="E58" s="4" t="n"/>
      <c r="F58" s="4" t="n"/>
      <c r="G58" s="4" t="n"/>
      <c r="H58" s="4" t="n"/>
      <c r="I58" s="4" t="n"/>
      <c r="J58" s="4" t="n"/>
      <c r="K58" s="40" t="n"/>
      <c r="L58" s="4" t="n"/>
      <c r="M58" s="25" t="n"/>
      <c r="N58" s="55" t="n"/>
      <c r="O58" s="25" t="n"/>
      <c r="P58" s="55" t="n"/>
      <c r="Q58" s="25" t="n"/>
      <c r="R58" s="25" t="n"/>
    </row>
    <row r="59">
      <c r="A59" s="4">
        <f>IF(F59="","","OBS-"&amp;TEXT(ROW()-4,"000"))</f>
        <v/>
      </c>
      <c r="B59" s="4" t="n"/>
      <c r="C59" s="4" t="n"/>
      <c r="D59" s="4" t="n"/>
      <c r="E59" s="4" t="n"/>
      <c r="F59" s="4" t="n"/>
      <c r="G59" s="4" t="n"/>
      <c r="H59" s="4" t="n"/>
      <c r="I59" s="4" t="n"/>
      <c r="J59" s="4" t="n"/>
      <c r="K59" s="40" t="n"/>
      <c r="L59" s="4" t="n"/>
      <c r="M59" s="25" t="n"/>
      <c r="N59" s="55" t="n"/>
      <c r="O59" s="25" t="n"/>
      <c r="P59" s="55" t="n"/>
      <c r="Q59" s="25" t="n"/>
      <c r="R59" s="25" t="n"/>
    </row>
    <row r="60">
      <c r="A60" s="4">
        <f>IF(F60="","","OBS-"&amp;TEXT(ROW()-4,"000"))</f>
        <v/>
      </c>
      <c r="B60" s="4" t="n"/>
      <c r="C60" s="4" t="n"/>
      <c r="D60" s="4" t="n"/>
      <c r="E60" s="4" t="n"/>
      <c r="F60" s="4" t="n"/>
      <c r="G60" s="4" t="n"/>
      <c r="H60" s="4" t="n"/>
      <c r="I60" s="4" t="n"/>
      <c r="J60" s="4" t="n"/>
      <c r="K60" s="40" t="n"/>
      <c r="L60" s="4" t="n"/>
      <c r="M60" s="25" t="n"/>
      <c r="N60" s="55" t="n"/>
      <c r="O60" s="25" t="n"/>
      <c r="P60" s="55" t="n"/>
      <c r="Q60" s="25" t="n"/>
      <c r="R60" s="25" t="n"/>
    </row>
    <row r="61">
      <c r="A61" s="4">
        <f>IF(F61="","","OBS-"&amp;TEXT(ROW()-4,"000"))</f>
        <v/>
      </c>
      <c r="B61" s="4" t="n"/>
      <c r="C61" s="4" t="n"/>
      <c r="D61" s="4" t="n"/>
      <c r="E61" s="4" t="n"/>
      <c r="F61" s="4" t="n"/>
      <c r="G61" s="4" t="n"/>
      <c r="H61" s="4" t="n"/>
      <c r="I61" s="4" t="n"/>
      <c r="J61" s="4" t="n"/>
      <c r="K61" s="40" t="n"/>
      <c r="L61" s="4" t="n"/>
      <c r="M61" s="25" t="n"/>
      <c r="N61" s="55" t="n"/>
      <c r="O61" s="25" t="n"/>
      <c r="P61" s="55" t="n"/>
      <c r="Q61" s="25" t="n"/>
      <c r="R61" s="25" t="n"/>
    </row>
    <row r="62">
      <c r="A62" s="4">
        <f>IF(F62="","","OBS-"&amp;TEXT(ROW()-4,"000"))</f>
        <v/>
      </c>
      <c r="B62" s="4" t="n"/>
      <c r="C62" s="4" t="n"/>
      <c r="D62" s="4" t="n"/>
      <c r="E62" s="4" t="n"/>
      <c r="F62" s="4" t="n"/>
      <c r="G62" s="4" t="n"/>
      <c r="H62" s="4" t="n"/>
      <c r="I62" s="4" t="n"/>
      <c r="J62" s="4" t="n"/>
      <c r="K62" s="40" t="n"/>
      <c r="L62" s="4" t="n"/>
      <c r="M62" s="25" t="n"/>
      <c r="N62" s="55" t="n"/>
      <c r="O62" s="25" t="n"/>
      <c r="P62" s="55" t="n"/>
      <c r="Q62" s="25" t="n"/>
      <c r="R62" s="25" t="n"/>
    </row>
    <row r="63">
      <c r="A63" s="4">
        <f>IF(F63="","","OBS-"&amp;TEXT(ROW()-4,"000"))</f>
        <v/>
      </c>
      <c r="B63" s="4" t="n"/>
      <c r="C63" s="4" t="n"/>
      <c r="D63" s="4" t="n"/>
      <c r="E63" s="4" t="n"/>
      <c r="F63" s="4" t="n"/>
      <c r="G63" s="4" t="n"/>
      <c r="H63" s="4" t="n"/>
      <c r="I63" s="4" t="n"/>
      <c r="J63" s="4" t="n"/>
      <c r="K63" s="40" t="n"/>
      <c r="L63" s="4" t="n"/>
      <c r="M63" s="25" t="n"/>
      <c r="N63" s="55" t="n"/>
      <c r="O63" s="25" t="n"/>
      <c r="P63" s="55" t="n"/>
      <c r="Q63" s="25" t="n"/>
      <c r="R63" s="25" t="n"/>
    </row>
    <row r="64">
      <c r="A64" s="4">
        <f>IF(F64="","","OBS-"&amp;TEXT(ROW()-4,"000"))</f>
        <v/>
      </c>
      <c r="B64" s="4" t="n"/>
      <c r="C64" s="4" t="n"/>
      <c r="D64" s="4" t="n"/>
      <c r="E64" s="4" t="n"/>
      <c r="F64" s="4" t="n"/>
      <c r="G64" s="4" t="n"/>
      <c r="H64" s="4" t="n"/>
      <c r="I64" s="4" t="n"/>
      <c r="J64" s="4" t="n"/>
      <c r="K64" s="40" t="n"/>
      <c r="L64" s="4" t="n"/>
      <c r="M64" s="25" t="n"/>
      <c r="N64" s="55" t="n"/>
      <c r="O64" s="25" t="n"/>
      <c r="P64" s="55" t="n"/>
      <c r="Q64" s="25" t="n"/>
      <c r="R64" s="25" t="n"/>
    </row>
    <row r="65">
      <c r="A65" s="4">
        <f>IF(F65="","","OBS-"&amp;TEXT(ROW()-4,"000"))</f>
        <v/>
      </c>
      <c r="B65" s="4" t="n"/>
      <c r="C65" s="4" t="n"/>
      <c r="D65" s="4" t="n"/>
      <c r="E65" s="4" t="n"/>
      <c r="F65" s="4" t="n"/>
      <c r="G65" s="4" t="n"/>
      <c r="H65" s="4" t="n"/>
      <c r="I65" s="4" t="n"/>
      <c r="J65" s="4" t="n"/>
      <c r="K65" s="40" t="n"/>
      <c r="L65" s="4" t="n"/>
      <c r="M65" s="25" t="n"/>
      <c r="N65" s="55" t="n"/>
      <c r="O65" s="25" t="n"/>
      <c r="P65" s="55" t="n"/>
      <c r="Q65" s="25" t="n"/>
      <c r="R65" s="25" t="n"/>
    </row>
    <row r="66">
      <c r="A66" s="4">
        <f>IF(F66="","","OBS-"&amp;TEXT(ROW()-4,"000"))</f>
        <v/>
      </c>
      <c r="B66" s="4" t="n"/>
      <c r="C66" s="4" t="n"/>
      <c r="D66" s="4" t="n"/>
      <c r="E66" s="4" t="n"/>
      <c r="F66" s="4" t="n"/>
      <c r="G66" s="4" t="n"/>
      <c r="H66" s="4" t="n"/>
      <c r="I66" s="4" t="n"/>
      <c r="J66" s="4" t="n"/>
      <c r="K66" s="40" t="n"/>
      <c r="L66" s="4" t="n"/>
      <c r="M66" s="25" t="n"/>
      <c r="N66" s="55" t="n"/>
      <c r="O66" s="25" t="n"/>
      <c r="P66" s="55" t="n"/>
      <c r="Q66" s="25" t="n"/>
      <c r="R66" s="25" t="n"/>
    </row>
    <row r="67">
      <c r="A67" s="4">
        <f>IF(F67="","","OBS-"&amp;TEXT(ROW()-4,"000"))</f>
        <v/>
      </c>
      <c r="B67" s="4" t="n"/>
      <c r="C67" s="4" t="n"/>
      <c r="D67" s="4" t="n"/>
      <c r="E67" s="4" t="n"/>
      <c r="F67" s="4" t="n"/>
      <c r="G67" s="4" t="n"/>
      <c r="H67" s="4" t="n"/>
      <c r="I67" s="4" t="n"/>
      <c r="J67" s="4" t="n"/>
      <c r="K67" s="40" t="n"/>
      <c r="L67" s="4" t="n"/>
      <c r="M67" s="25" t="n"/>
      <c r="N67" s="55" t="n"/>
      <c r="O67" s="25" t="n"/>
      <c r="P67" s="55" t="n"/>
      <c r="Q67" s="25" t="n"/>
      <c r="R67" s="25" t="n"/>
    </row>
    <row r="68">
      <c r="A68" s="4">
        <f>IF(F68="","","OBS-"&amp;TEXT(ROW()-4,"000"))</f>
        <v/>
      </c>
      <c r="B68" s="4" t="n"/>
      <c r="C68" s="4" t="n"/>
      <c r="D68" s="4" t="n"/>
      <c r="E68" s="4" t="n"/>
      <c r="F68" s="4" t="n"/>
      <c r="G68" s="4" t="n"/>
      <c r="H68" s="4" t="n"/>
      <c r="I68" s="4" t="n"/>
      <c r="J68" s="4" t="n"/>
      <c r="K68" s="40" t="n"/>
      <c r="L68" s="4" t="n"/>
      <c r="M68" s="25" t="n"/>
      <c r="N68" s="55" t="n"/>
      <c r="O68" s="25" t="n"/>
      <c r="P68" s="55" t="n"/>
      <c r="Q68" s="25" t="n"/>
      <c r="R68" s="25" t="n"/>
    </row>
    <row r="69">
      <c r="A69" s="4">
        <f>IF(F69="","","OBS-"&amp;TEXT(ROW()-4,"000"))</f>
        <v/>
      </c>
      <c r="B69" s="4" t="n"/>
      <c r="C69" s="4" t="n"/>
      <c r="D69" s="4" t="n"/>
      <c r="E69" s="4" t="n"/>
      <c r="F69" s="4" t="n"/>
      <c r="G69" s="4" t="n"/>
      <c r="H69" s="4" t="n"/>
      <c r="I69" s="4" t="n"/>
      <c r="J69" s="4" t="n"/>
      <c r="K69" s="40" t="n"/>
      <c r="L69" s="4" t="n"/>
      <c r="M69" s="25" t="n"/>
      <c r="N69" s="55" t="n"/>
      <c r="O69" s="25" t="n"/>
      <c r="P69" s="55" t="n"/>
      <c r="Q69" s="25" t="n"/>
      <c r="R69" s="25" t="n"/>
    </row>
    <row r="70">
      <c r="A70" s="4">
        <f>IF(F70="","","OBS-"&amp;TEXT(ROW()-4,"000"))</f>
        <v/>
      </c>
      <c r="B70" s="4" t="n"/>
      <c r="C70" s="4" t="n"/>
      <c r="D70" s="4" t="n"/>
      <c r="E70" s="4" t="n"/>
      <c r="F70" s="4" t="n"/>
      <c r="G70" s="4" t="n"/>
      <c r="H70" s="4" t="n"/>
      <c r="I70" s="4" t="n"/>
      <c r="J70" s="4" t="n"/>
      <c r="K70" s="40" t="n"/>
      <c r="L70" s="4" t="n"/>
      <c r="M70" s="25" t="n"/>
      <c r="N70" s="55" t="n"/>
      <c r="O70" s="25" t="n"/>
      <c r="P70" s="55" t="n"/>
      <c r="Q70" s="25" t="n"/>
      <c r="R70" s="25" t="n"/>
    </row>
    <row r="71">
      <c r="A71" s="4">
        <f>IF(F71="","","OBS-"&amp;TEXT(ROW()-4,"000"))</f>
        <v/>
      </c>
      <c r="B71" s="4" t="n"/>
      <c r="C71" s="4" t="n"/>
      <c r="D71" s="4" t="n"/>
      <c r="E71" s="4" t="n"/>
      <c r="F71" s="4" t="n"/>
      <c r="G71" s="4" t="n"/>
      <c r="H71" s="4" t="n"/>
      <c r="I71" s="4" t="n"/>
      <c r="J71" s="4" t="n"/>
      <c r="K71" s="40" t="n"/>
      <c r="L71" s="4" t="n"/>
      <c r="M71" s="25" t="n"/>
      <c r="N71" s="55" t="n"/>
      <c r="O71" s="25" t="n"/>
      <c r="P71" s="55" t="n"/>
      <c r="Q71" s="25" t="n"/>
      <c r="R71" s="25" t="n"/>
    </row>
    <row r="72">
      <c r="A72" s="4">
        <f>IF(F72="","","OBS-"&amp;TEXT(ROW()-4,"000"))</f>
        <v/>
      </c>
      <c r="B72" s="4" t="n"/>
      <c r="C72" s="4" t="n"/>
      <c r="D72" s="4" t="n"/>
      <c r="E72" s="4" t="n"/>
      <c r="F72" s="4" t="n"/>
      <c r="G72" s="4" t="n"/>
      <c r="H72" s="4" t="n"/>
      <c r="I72" s="4" t="n"/>
      <c r="J72" s="4" t="n"/>
      <c r="K72" s="40" t="n"/>
      <c r="L72" s="4" t="n"/>
      <c r="M72" s="25" t="n"/>
      <c r="N72" s="55" t="n"/>
      <c r="O72" s="25" t="n"/>
      <c r="P72" s="55" t="n"/>
      <c r="Q72" s="25" t="n"/>
      <c r="R72" s="25" t="n"/>
    </row>
    <row r="73">
      <c r="A73" s="4">
        <f>IF(F73="","","OBS-"&amp;TEXT(ROW()-4,"000"))</f>
        <v/>
      </c>
      <c r="B73" s="4" t="n"/>
      <c r="C73" s="4" t="n"/>
      <c r="D73" s="4" t="n"/>
      <c r="E73" s="4" t="n"/>
      <c r="F73" s="4" t="n"/>
      <c r="G73" s="4" t="n"/>
      <c r="H73" s="4" t="n"/>
      <c r="I73" s="4" t="n"/>
      <c r="J73" s="4" t="n"/>
      <c r="K73" s="40" t="n"/>
      <c r="L73" s="4" t="n"/>
      <c r="M73" s="25" t="n"/>
      <c r="N73" s="55" t="n"/>
      <c r="O73" s="25" t="n"/>
      <c r="P73" s="55" t="n"/>
      <c r="Q73" s="25" t="n"/>
      <c r="R73" s="25" t="n"/>
    </row>
    <row r="74">
      <c r="A74" s="4">
        <f>IF(F74="","","OBS-"&amp;TEXT(ROW()-4,"000"))</f>
        <v/>
      </c>
      <c r="B74" s="4" t="n"/>
      <c r="C74" s="4" t="n"/>
      <c r="D74" s="4" t="n"/>
      <c r="E74" s="4" t="n"/>
      <c r="F74" s="4" t="n"/>
      <c r="G74" s="4" t="n"/>
      <c r="H74" s="4" t="n"/>
      <c r="I74" s="4" t="n"/>
      <c r="J74" s="4" t="n"/>
      <c r="K74" s="40" t="n"/>
      <c r="L74" s="4" t="n"/>
      <c r="M74" s="25" t="n"/>
      <c r="N74" s="55" t="n"/>
      <c r="O74" s="25" t="n"/>
      <c r="P74" s="55" t="n"/>
      <c r="Q74" s="25" t="n"/>
      <c r="R74" s="25" t="n"/>
    </row>
    <row r="75">
      <c r="A75" s="4">
        <f>IF(F75="","","OBS-"&amp;TEXT(ROW()-4,"000"))</f>
        <v/>
      </c>
      <c r="B75" s="4" t="n"/>
      <c r="C75" s="4" t="n"/>
      <c r="D75" s="4" t="n"/>
      <c r="E75" s="4" t="n"/>
      <c r="F75" s="4" t="n"/>
      <c r="G75" s="4" t="n"/>
      <c r="H75" s="4" t="n"/>
      <c r="I75" s="4" t="n"/>
      <c r="J75" s="4" t="n"/>
      <c r="K75" s="40" t="n"/>
      <c r="L75" s="4" t="n"/>
      <c r="M75" s="25" t="n"/>
      <c r="N75" s="55" t="n"/>
      <c r="O75" s="25" t="n"/>
      <c r="P75" s="55" t="n"/>
      <c r="Q75" s="25" t="n"/>
      <c r="R75" s="25" t="n"/>
    </row>
    <row r="76">
      <c r="A76" s="4">
        <f>IF(F76="","","OBS-"&amp;TEXT(ROW()-4,"000"))</f>
        <v/>
      </c>
      <c r="B76" s="4" t="n"/>
      <c r="C76" s="4" t="n"/>
      <c r="D76" s="4" t="n"/>
      <c r="E76" s="4" t="n"/>
      <c r="F76" s="4" t="n"/>
      <c r="G76" s="4" t="n"/>
      <c r="H76" s="4" t="n"/>
      <c r="I76" s="4" t="n"/>
      <c r="J76" s="4" t="n"/>
      <c r="K76" s="40" t="n"/>
      <c r="L76" s="4" t="n"/>
      <c r="M76" s="25" t="n"/>
      <c r="N76" s="55" t="n"/>
      <c r="O76" s="25" t="n"/>
      <c r="P76" s="55" t="n"/>
      <c r="Q76" s="25" t="n"/>
      <c r="R76" s="25" t="n"/>
    </row>
    <row r="77">
      <c r="A77" s="4">
        <f>IF(F77="","","OBS-"&amp;TEXT(ROW()-4,"000"))</f>
        <v/>
      </c>
      <c r="B77" s="4" t="n"/>
      <c r="C77" s="4" t="n"/>
      <c r="D77" s="4" t="n"/>
      <c r="E77" s="4" t="n"/>
      <c r="F77" s="4" t="n"/>
      <c r="G77" s="4" t="n"/>
      <c r="H77" s="4" t="n"/>
      <c r="I77" s="4" t="n"/>
      <c r="J77" s="4" t="n"/>
      <c r="K77" s="40" t="n"/>
      <c r="L77" s="4" t="n"/>
      <c r="M77" s="25" t="n"/>
      <c r="N77" s="55" t="n"/>
      <c r="O77" s="25" t="n"/>
      <c r="P77" s="55" t="n"/>
      <c r="Q77" s="25" t="n"/>
      <c r="R77" s="25" t="n"/>
    </row>
    <row r="78">
      <c r="A78" s="4">
        <f>IF(F78="","","OBS-"&amp;TEXT(ROW()-4,"000"))</f>
        <v/>
      </c>
      <c r="B78" s="4" t="n"/>
      <c r="C78" s="4" t="n"/>
      <c r="D78" s="4" t="n"/>
      <c r="E78" s="4" t="n"/>
      <c r="F78" s="4" t="n"/>
      <c r="G78" s="4" t="n"/>
      <c r="H78" s="4" t="n"/>
      <c r="I78" s="4" t="n"/>
      <c r="J78" s="4" t="n"/>
      <c r="K78" s="40" t="n"/>
      <c r="L78" s="4" t="n"/>
      <c r="M78" s="25" t="n"/>
      <c r="N78" s="55" t="n"/>
      <c r="O78" s="25" t="n"/>
      <c r="P78" s="55" t="n"/>
      <c r="Q78" s="25" t="n"/>
      <c r="R78" s="25" t="n"/>
    </row>
    <row r="79">
      <c r="A79" s="4">
        <f>IF(F79="","","OBS-"&amp;TEXT(ROW()-4,"000"))</f>
        <v/>
      </c>
      <c r="B79" s="4" t="n"/>
      <c r="C79" s="4" t="n"/>
      <c r="D79" s="4" t="n"/>
      <c r="E79" s="4" t="n"/>
      <c r="F79" s="4" t="n"/>
      <c r="G79" s="4" t="n"/>
      <c r="H79" s="4" t="n"/>
      <c r="I79" s="4" t="n"/>
      <c r="J79" s="4" t="n"/>
      <c r="K79" s="40" t="n"/>
      <c r="L79" s="4" t="n"/>
      <c r="M79" s="25" t="n"/>
      <c r="N79" s="55" t="n"/>
      <c r="O79" s="25" t="n"/>
      <c r="P79" s="55" t="n"/>
      <c r="Q79" s="25" t="n"/>
      <c r="R79" s="25" t="n"/>
    </row>
    <row r="80">
      <c r="A80" s="4">
        <f>IF(F80="","","OBS-"&amp;TEXT(ROW()-4,"000"))</f>
        <v/>
      </c>
      <c r="B80" s="4" t="n"/>
      <c r="C80" s="4" t="n"/>
      <c r="D80" s="4" t="n"/>
      <c r="E80" s="4" t="n"/>
      <c r="F80" s="4" t="n"/>
      <c r="G80" s="4" t="n"/>
      <c r="H80" s="4" t="n"/>
      <c r="I80" s="4" t="n"/>
      <c r="J80" s="4" t="n"/>
      <c r="K80" s="40" t="n"/>
      <c r="L80" s="4" t="n"/>
      <c r="M80" s="25" t="n"/>
      <c r="N80" s="55" t="n"/>
      <c r="O80" s="25" t="n"/>
      <c r="P80" s="55" t="n"/>
      <c r="Q80" s="25" t="n"/>
      <c r="R80" s="25" t="n"/>
    </row>
    <row r="81">
      <c r="A81" s="4">
        <f>IF(F81="","","OBS-"&amp;TEXT(ROW()-4,"000"))</f>
        <v/>
      </c>
      <c r="B81" s="4" t="n"/>
      <c r="C81" s="4" t="n"/>
      <c r="D81" s="4" t="n"/>
      <c r="E81" s="4" t="n"/>
      <c r="F81" s="4" t="n"/>
      <c r="G81" s="4" t="n"/>
      <c r="H81" s="4" t="n"/>
      <c r="I81" s="4" t="n"/>
      <c r="J81" s="4" t="n"/>
      <c r="K81" s="40" t="n"/>
      <c r="L81" s="4" t="n"/>
      <c r="M81" s="25" t="n"/>
      <c r="N81" s="55" t="n"/>
      <c r="O81" s="25" t="n"/>
      <c r="P81" s="55" t="n"/>
      <c r="Q81" s="25" t="n"/>
      <c r="R81" s="25" t="n"/>
    </row>
    <row r="82">
      <c r="A82" s="4">
        <f>IF(F82="","","OBS-"&amp;TEXT(ROW()-4,"000"))</f>
        <v/>
      </c>
      <c r="B82" s="4" t="n"/>
      <c r="C82" s="4" t="n"/>
      <c r="D82" s="4" t="n"/>
      <c r="E82" s="4" t="n"/>
      <c r="F82" s="4" t="n"/>
      <c r="G82" s="4" t="n"/>
      <c r="H82" s="4" t="n"/>
      <c r="I82" s="4" t="n"/>
      <c r="J82" s="4" t="n"/>
      <c r="K82" s="40" t="n"/>
      <c r="L82" s="4" t="n"/>
      <c r="M82" s="25" t="n"/>
      <c r="N82" s="55" t="n"/>
      <c r="O82" s="25" t="n"/>
      <c r="P82" s="55" t="n"/>
      <c r="Q82" s="25" t="n"/>
      <c r="R82" s="25" t="n"/>
    </row>
    <row r="83">
      <c r="A83" s="4">
        <f>IF(F83="","","OBS-"&amp;TEXT(ROW()-4,"000"))</f>
        <v/>
      </c>
      <c r="B83" s="4" t="n"/>
      <c r="C83" s="4" t="n"/>
      <c r="D83" s="4" t="n"/>
      <c r="E83" s="4" t="n"/>
      <c r="F83" s="4" t="n"/>
      <c r="G83" s="4" t="n"/>
      <c r="H83" s="4" t="n"/>
      <c r="I83" s="4" t="n"/>
      <c r="J83" s="4" t="n"/>
      <c r="K83" s="40" t="n"/>
      <c r="L83" s="4" t="n"/>
      <c r="M83" s="25" t="n"/>
      <c r="N83" s="55" t="n"/>
      <c r="O83" s="25" t="n"/>
      <c r="P83" s="55" t="n"/>
      <c r="Q83" s="25" t="n"/>
      <c r="R83" s="25" t="n"/>
    </row>
    <row r="84">
      <c r="A84" s="4">
        <f>IF(F84="","","OBS-"&amp;TEXT(ROW()-4,"000"))</f>
        <v/>
      </c>
      <c r="B84" s="4" t="n"/>
      <c r="C84" s="4" t="n"/>
      <c r="D84" s="4" t="n"/>
      <c r="E84" s="4" t="n"/>
      <c r="F84" s="4" t="n"/>
      <c r="G84" s="4" t="n"/>
      <c r="H84" s="4" t="n"/>
      <c r="I84" s="4" t="n"/>
      <c r="J84" s="4" t="n"/>
      <c r="K84" s="40" t="n"/>
      <c r="L84" s="4" t="n"/>
      <c r="M84" s="25" t="n"/>
      <c r="N84" s="55" t="n"/>
      <c r="O84" s="25" t="n"/>
      <c r="P84" s="55" t="n"/>
      <c r="Q84" s="25" t="n"/>
      <c r="R84" s="25" t="n"/>
    </row>
    <row r="85">
      <c r="A85" s="4">
        <f>IF(F85="","","OBS-"&amp;TEXT(ROW()-4,"000"))</f>
        <v/>
      </c>
      <c r="B85" s="4" t="n"/>
      <c r="C85" s="4" t="n"/>
      <c r="D85" s="4" t="n"/>
      <c r="E85" s="4" t="n"/>
      <c r="F85" s="4" t="n"/>
      <c r="G85" s="4" t="n"/>
      <c r="H85" s="4" t="n"/>
      <c r="I85" s="4" t="n"/>
      <c r="J85" s="4" t="n"/>
      <c r="K85" s="40" t="n"/>
      <c r="L85" s="4" t="n"/>
      <c r="M85" s="25" t="n"/>
      <c r="N85" s="55" t="n"/>
      <c r="O85" s="25" t="n"/>
      <c r="P85" s="55" t="n"/>
      <c r="Q85" s="25" t="n"/>
      <c r="R85" s="25" t="n"/>
    </row>
    <row r="86">
      <c r="A86" s="4">
        <f>IF(F86="","","OBS-"&amp;TEXT(ROW()-4,"000"))</f>
        <v/>
      </c>
      <c r="B86" s="4" t="n"/>
      <c r="C86" s="4" t="n"/>
      <c r="D86" s="4" t="n"/>
      <c r="E86" s="4" t="n"/>
      <c r="F86" s="4" t="n"/>
      <c r="G86" s="4" t="n"/>
      <c r="H86" s="4" t="n"/>
      <c r="I86" s="4" t="n"/>
      <c r="J86" s="4" t="n"/>
      <c r="K86" s="40" t="n"/>
      <c r="L86" s="4" t="n"/>
      <c r="M86" s="25" t="n"/>
      <c r="N86" s="55" t="n"/>
      <c r="O86" s="25" t="n"/>
      <c r="P86" s="55" t="n"/>
      <c r="Q86" s="25" t="n"/>
      <c r="R86" s="25" t="n"/>
    </row>
    <row r="87">
      <c r="A87" s="4">
        <f>IF(F87="","","OBS-"&amp;TEXT(ROW()-4,"000"))</f>
        <v/>
      </c>
      <c r="B87" s="4" t="n"/>
      <c r="C87" s="4" t="n"/>
      <c r="D87" s="4" t="n"/>
      <c r="E87" s="4" t="n"/>
      <c r="F87" s="4" t="n"/>
      <c r="G87" s="4" t="n"/>
      <c r="H87" s="4" t="n"/>
      <c r="I87" s="4" t="n"/>
      <c r="J87" s="4" t="n"/>
      <c r="K87" s="40" t="n"/>
      <c r="L87" s="4" t="n"/>
      <c r="M87" s="25" t="n"/>
      <c r="N87" s="55" t="n"/>
      <c r="O87" s="25" t="n"/>
      <c r="P87" s="55" t="n"/>
      <c r="Q87" s="25" t="n"/>
      <c r="R87" s="25" t="n"/>
    </row>
    <row r="88">
      <c r="A88" s="4">
        <f>IF(F88="","","OBS-"&amp;TEXT(ROW()-4,"000"))</f>
        <v/>
      </c>
      <c r="B88" s="4" t="n"/>
      <c r="C88" s="4" t="n"/>
      <c r="D88" s="4" t="n"/>
      <c r="E88" s="4" t="n"/>
      <c r="F88" s="4" t="n"/>
      <c r="G88" s="4" t="n"/>
      <c r="H88" s="4" t="n"/>
      <c r="I88" s="4" t="n"/>
      <c r="J88" s="4" t="n"/>
      <c r="K88" s="40" t="n"/>
      <c r="L88" s="4" t="n"/>
      <c r="M88" s="25" t="n"/>
      <c r="N88" s="55" t="n"/>
      <c r="O88" s="25" t="n"/>
      <c r="P88" s="55" t="n"/>
      <c r="Q88" s="25" t="n"/>
      <c r="R88" s="25" t="n"/>
    </row>
    <row r="89">
      <c r="A89" s="4">
        <f>IF(F89="","","OBS-"&amp;TEXT(ROW()-4,"000"))</f>
        <v/>
      </c>
      <c r="B89" s="4" t="n"/>
      <c r="C89" s="4" t="n"/>
      <c r="D89" s="4" t="n"/>
      <c r="E89" s="4" t="n"/>
      <c r="F89" s="4" t="n"/>
      <c r="G89" s="4" t="n"/>
      <c r="H89" s="4" t="n"/>
      <c r="I89" s="4" t="n"/>
      <c r="J89" s="4" t="n"/>
      <c r="K89" s="40" t="n"/>
      <c r="L89" s="4" t="n"/>
      <c r="M89" s="25" t="n"/>
      <c r="N89" s="55" t="n"/>
      <c r="O89" s="25" t="n"/>
      <c r="P89" s="55" t="n"/>
      <c r="Q89" s="25" t="n"/>
      <c r="R89" s="25" t="n"/>
    </row>
    <row r="90">
      <c r="A90" s="4">
        <f>IF(F90="","","OBS-"&amp;TEXT(ROW()-4,"000"))</f>
        <v/>
      </c>
      <c r="B90" s="4" t="n"/>
      <c r="C90" s="4" t="n"/>
      <c r="D90" s="4" t="n"/>
      <c r="E90" s="4" t="n"/>
      <c r="F90" s="4" t="n"/>
      <c r="G90" s="4" t="n"/>
      <c r="H90" s="4" t="n"/>
      <c r="I90" s="4" t="n"/>
      <c r="J90" s="4" t="n"/>
      <c r="K90" s="40" t="n"/>
      <c r="L90" s="4" t="n"/>
      <c r="M90" s="25" t="n"/>
      <c r="N90" s="55" t="n"/>
      <c r="O90" s="25" t="n"/>
      <c r="P90" s="55" t="n"/>
      <c r="Q90" s="25" t="n"/>
      <c r="R90" s="25" t="n"/>
    </row>
    <row r="91">
      <c r="A91" s="4">
        <f>IF(F91="","","OBS-"&amp;TEXT(ROW()-4,"000"))</f>
        <v/>
      </c>
      <c r="B91" s="4" t="n"/>
      <c r="C91" s="4" t="n"/>
      <c r="D91" s="4" t="n"/>
      <c r="E91" s="4" t="n"/>
      <c r="F91" s="4" t="n"/>
      <c r="G91" s="4" t="n"/>
      <c r="H91" s="4" t="n"/>
      <c r="I91" s="4" t="n"/>
      <c r="J91" s="4" t="n"/>
      <c r="K91" s="40" t="n"/>
      <c r="L91" s="4" t="n"/>
      <c r="M91" s="25" t="n"/>
      <c r="N91" s="55" t="n"/>
      <c r="O91" s="25" t="n"/>
      <c r="P91" s="55" t="n"/>
      <c r="Q91" s="25" t="n"/>
      <c r="R91" s="25" t="n"/>
    </row>
    <row r="92">
      <c r="A92" s="4">
        <f>IF(F92="","","OBS-"&amp;TEXT(ROW()-4,"000"))</f>
        <v/>
      </c>
      <c r="B92" s="4" t="n"/>
      <c r="C92" s="4" t="n"/>
      <c r="D92" s="4" t="n"/>
      <c r="E92" s="4" t="n"/>
      <c r="F92" s="4" t="n"/>
      <c r="G92" s="4" t="n"/>
      <c r="H92" s="4" t="n"/>
      <c r="I92" s="4" t="n"/>
      <c r="J92" s="4" t="n"/>
      <c r="K92" s="40" t="n"/>
      <c r="L92" s="4" t="n"/>
      <c r="M92" s="25" t="n"/>
      <c r="N92" s="55" t="n"/>
      <c r="O92" s="25" t="n"/>
      <c r="P92" s="55" t="n"/>
      <c r="Q92" s="25" t="n"/>
      <c r="R92" s="25" t="n"/>
    </row>
    <row r="93">
      <c r="A93" s="4">
        <f>IF(F93="","","OBS-"&amp;TEXT(ROW()-4,"000"))</f>
        <v/>
      </c>
      <c r="B93" s="4" t="n"/>
      <c r="C93" s="4" t="n"/>
      <c r="D93" s="4" t="n"/>
      <c r="E93" s="4" t="n"/>
      <c r="F93" s="4" t="n"/>
      <c r="G93" s="4" t="n"/>
      <c r="H93" s="4" t="n"/>
      <c r="I93" s="4" t="n"/>
      <c r="J93" s="4" t="n"/>
      <c r="K93" s="40" t="n"/>
      <c r="L93" s="4" t="n"/>
      <c r="M93" s="25" t="n"/>
      <c r="N93" s="55" t="n"/>
      <c r="O93" s="25" t="n"/>
      <c r="P93" s="55" t="n"/>
      <c r="Q93" s="25" t="n"/>
      <c r="R93" s="25" t="n"/>
    </row>
    <row r="94">
      <c r="A94" s="4">
        <f>IF(F94="","","OBS-"&amp;TEXT(ROW()-4,"000"))</f>
        <v/>
      </c>
      <c r="B94" s="4" t="n"/>
      <c r="C94" s="4" t="n"/>
      <c r="D94" s="4" t="n"/>
      <c r="E94" s="4" t="n"/>
      <c r="F94" s="4" t="n"/>
      <c r="G94" s="4" t="n"/>
      <c r="H94" s="4" t="n"/>
      <c r="I94" s="4" t="n"/>
      <c r="J94" s="4" t="n"/>
      <c r="K94" s="40" t="n"/>
      <c r="L94" s="4" t="n"/>
      <c r="M94" s="25" t="n"/>
      <c r="N94" s="55" t="n"/>
      <c r="O94" s="25" t="n"/>
      <c r="P94" s="55" t="n"/>
      <c r="Q94" s="25" t="n"/>
      <c r="R94" s="25" t="n"/>
    </row>
    <row r="95">
      <c r="A95" s="4">
        <f>IF(F95="","","OBS-"&amp;TEXT(ROW()-4,"000"))</f>
        <v/>
      </c>
      <c r="B95" s="4" t="n"/>
      <c r="C95" s="4" t="n"/>
      <c r="D95" s="4" t="n"/>
      <c r="E95" s="4" t="n"/>
      <c r="F95" s="4" t="n"/>
      <c r="G95" s="4" t="n"/>
      <c r="H95" s="4" t="n"/>
      <c r="I95" s="4" t="n"/>
      <c r="J95" s="4" t="n"/>
      <c r="K95" s="40" t="n"/>
      <c r="L95" s="4" t="n"/>
      <c r="M95" s="25" t="n"/>
      <c r="N95" s="55" t="n"/>
      <c r="O95" s="25" t="n"/>
      <c r="P95" s="55" t="n"/>
      <c r="Q95" s="25" t="n"/>
      <c r="R95" s="25" t="n"/>
    </row>
    <row r="96">
      <c r="A96" s="4">
        <f>IF(F96="","","OBS-"&amp;TEXT(ROW()-4,"000"))</f>
        <v/>
      </c>
      <c r="B96" s="4" t="n"/>
      <c r="C96" s="4" t="n"/>
      <c r="D96" s="4" t="n"/>
      <c r="E96" s="4" t="n"/>
      <c r="F96" s="4" t="n"/>
      <c r="G96" s="4" t="n"/>
      <c r="H96" s="4" t="n"/>
      <c r="I96" s="4" t="n"/>
      <c r="J96" s="4" t="n"/>
      <c r="K96" s="40" t="n"/>
      <c r="L96" s="4" t="n"/>
      <c r="M96" s="25" t="n"/>
      <c r="N96" s="55" t="n"/>
      <c r="O96" s="25" t="n"/>
      <c r="P96" s="55" t="n"/>
      <c r="Q96" s="25" t="n"/>
      <c r="R96" s="25" t="n"/>
    </row>
    <row r="97">
      <c r="A97" s="4">
        <f>IF(F97="","","OBS-"&amp;TEXT(ROW()-4,"000"))</f>
        <v/>
      </c>
      <c r="B97" s="4" t="n"/>
      <c r="C97" s="4" t="n"/>
      <c r="D97" s="4" t="n"/>
      <c r="E97" s="4" t="n"/>
      <c r="F97" s="4" t="n"/>
      <c r="G97" s="4" t="n"/>
      <c r="H97" s="4" t="n"/>
      <c r="I97" s="4" t="n"/>
      <c r="J97" s="4" t="n"/>
      <c r="K97" s="40" t="n"/>
      <c r="L97" s="4" t="n"/>
      <c r="M97" s="25" t="n"/>
      <c r="N97" s="55" t="n"/>
      <c r="O97" s="25" t="n"/>
      <c r="P97" s="55" t="n"/>
      <c r="Q97" s="25" t="n"/>
      <c r="R97" s="25" t="n"/>
    </row>
    <row r="98">
      <c r="A98" s="4">
        <f>IF(F98="","","OBS-"&amp;TEXT(ROW()-4,"000"))</f>
        <v/>
      </c>
      <c r="B98" s="4" t="n"/>
      <c r="C98" s="4" t="n"/>
      <c r="D98" s="4" t="n"/>
      <c r="E98" s="4" t="n"/>
      <c r="F98" s="4" t="n"/>
      <c r="G98" s="4" t="n"/>
      <c r="H98" s="4" t="n"/>
      <c r="I98" s="4" t="n"/>
      <c r="J98" s="4" t="n"/>
      <c r="K98" s="40" t="n"/>
      <c r="L98" s="4" t="n"/>
      <c r="M98" s="25" t="n"/>
      <c r="N98" s="55" t="n"/>
      <c r="O98" s="25" t="n"/>
      <c r="P98" s="55" t="n"/>
      <c r="Q98" s="25" t="n"/>
      <c r="R98" s="25" t="n"/>
    </row>
    <row r="99">
      <c r="A99" s="4">
        <f>IF(F99="","","OBS-"&amp;TEXT(ROW()-4,"000"))</f>
        <v/>
      </c>
      <c r="B99" s="4" t="n"/>
      <c r="C99" s="4" t="n"/>
      <c r="D99" s="4" t="n"/>
      <c r="E99" s="4" t="n"/>
      <c r="F99" s="4" t="n"/>
      <c r="G99" s="4" t="n"/>
      <c r="H99" s="4" t="n"/>
      <c r="I99" s="4" t="n"/>
      <c r="J99" s="4" t="n"/>
      <c r="K99" s="40" t="n"/>
      <c r="L99" s="4" t="n"/>
      <c r="M99" s="25" t="n"/>
      <c r="N99" s="55" t="n"/>
      <c r="O99" s="25" t="n"/>
      <c r="P99" s="55" t="n"/>
      <c r="Q99" s="25" t="n"/>
      <c r="R99" s="25" t="n"/>
    </row>
    <row r="100">
      <c r="A100" s="4">
        <f>IF(F100="","","OBS-"&amp;TEXT(ROW()-4,"000"))</f>
        <v/>
      </c>
      <c r="B100" s="4" t="n"/>
      <c r="C100" s="4" t="n"/>
      <c r="D100" s="4" t="n"/>
      <c r="E100" s="4" t="n"/>
      <c r="F100" s="4" t="n"/>
      <c r="G100" s="4" t="n"/>
      <c r="H100" s="4" t="n"/>
      <c r="I100" s="4" t="n"/>
      <c r="J100" s="4" t="n"/>
      <c r="K100" s="40" t="n"/>
      <c r="L100" s="4" t="n"/>
      <c r="M100" s="25" t="n"/>
      <c r="N100" s="55" t="n"/>
      <c r="O100" s="25" t="n"/>
      <c r="P100" s="55" t="n"/>
      <c r="Q100" s="25" t="n"/>
      <c r="R100" s="25" t="n"/>
    </row>
    <row r="101">
      <c r="A101" s="4">
        <f>IF(F101="","","OBS-"&amp;TEXT(ROW()-4,"000"))</f>
        <v/>
      </c>
      <c r="B101" s="4" t="n"/>
      <c r="C101" s="4" t="n"/>
      <c r="D101" s="4" t="n"/>
      <c r="E101" s="4" t="n"/>
      <c r="F101" s="4" t="n"/>
      <c r="G101" s="4" t="n"/>
      <c r="H101" s="4" t="n"/>
      <c r="I101" s="4" t="n"/>
      <c r="J101" s="4" t="n"/>
      <c r="K101" s="40" t="n"/>
      <c r="L101" s="4" t="n"/>
      <c r="M101" s="25" t="n"/>
      <c r="N101" s="55" t="n"/>
      <c r="O101" s="25" t="n"/>
      <c r="P101" s="55" t="n"/>
      <c r="Q101" s="25" t="n"/>
      <c r="R101" s="25" t="n"/>
    </row>
    <row r="102">
      <c r="A102" s="4">
        <f>IF(F102="","","OBS-"&amp;TEXT(ROW()-4,"000"))</f>
        <v/>
      </c>
      <c r="B102" s="4" t="n"/>
      <c r="C102" s="4" t="n"/>
      <c r="D102" s="4" t="n"/>
      <c r="E102" s="4" t="n"/>
      <c r="F102" s="4" t="n"/>
      <c r="G102" s="4" t="n"/>
      <c r="H102" s="4" t="n"/>
      <c r="I102" s="4" t="n"/>
      <c r="J102" s="4" t="n"/>
      <c r="K102" s="40" t="n"/>
      <c r="L102" s="4" t="n"/>
      <c r="M102" s="25" t="n"/>
      <c r="N102" s="55" t="n"/>
      <c r="O102" s="25" t="n"/>
      <c r="P102" s="55" t="n"/>
      <c r="Q102" s="25" t="n"/>
      <c r="R102" s="25" t="n"/>
    </row>
    <row r="103">
      <c r="A103" s="4">
        <f>IF(F103="","","OBS-"&amp;TEXT(ROW()-4,"000"))</f>
        <v/>
      </c>
      <c r="B103" s="4" t="n"/>
      <c r="C103" s="4" t="n"/>
      <c r="D103" s="4" t="n"/>
      <c r="E103" s="4" t="n"/>
      <c r="F103" s="4" t="n"/>
      <c r="G103" s="4" t="n"/>
      <c r="H103" s="4" t="n"/>
      <c r="I103" s="4" t="n"/>
      <c r="J103" s="4" t="n"/>
      <c r="K103" s="40" t="n"/>
      <c r="L103" s="4" t="n"/>
      <c r="M103" s="25" t="n"/>
      <c r="N103" s="55" t="n"/>
      <c r="O103" s="25" t="n"/>
      <c r="P103" s="55" t="n"/>
      <c r="Q103" s="25" t="n"/>
      <c r="R103" s="25" t="n"/>
    </row>
    <row r="104">
      <c r="A104" s="4">
        <f>IF(F104="","","OBS-"&amp;TEXT(ROW()-4,"000"))</f>
        <v/>
      </c>
      <c r="B104" s="4" t="n"/>
      <c r="C104" s="4" t="n"/>
      <c r="D104" s="4" t="n"/>
      <c r="E104" s="4" t="n"/>
      <c r="F104" s="4" t="n"/>
      <c r="G104" s="4" t="n"/>
      <c r="H104" s="4" t="n"/>
      <c r="I104" s="4" t="n"/>
      <c r="J104" s="4" t="n"/>
      <c r="K104" s="40" t="n"/>
      <c r="L104" s="4" t="n"/>
      <c r="M104" s="25" t="n"/>
      <c r="N104" s="55" t="n"/>
      <c r="O104" s="25" t="n"/>
      <c r="P104" s="55" t="n"/>
      <c r="Q104" s="25" t="n"/>
      <c r="R104" s="25" t="n"/>
    </row>
    <row r="105">
      <c r="A105" s="4">
        <f>IF(F105="","","OBS-"&amp;TEXT(ROW()-4,"000"))</f>
        <v/>
      </c>
      <c r="B105" s="4" t="n"/>
      <c r="C105" s="4" t="n"/>
      <c r="D105" s="4" t="n"/>
      <c r="E105" s="4" t="n"/>
      <c r="F105" s="4" t="n"/>
      <c r="G105" s="4" t="n"/>
      <c r="H105" s="4" t="n"/>
      <c r="I105" s="4" t="n"/>
      <c r="J105" s="4" t="n"/>
      <c r="K105" s="40" t="n"/>
      <c r="L105" s="4" t="n"/>
      <c r="M105" s="25" t="n"/>
      <c r="N105" s="55" t="n"/>
      <c r="O105" s="25" t="n"/>
      <c r="P105" s="55" t="n"/>
      <c r="Q105" s="25" t="n"/>
      <c r="R105" s="25" t="n"/>
    </row>
    <row r="106">
      <c r="A106" s="4">
        <f>IF(F106="","","OBS-"&amp;TEXT(ROW()-4,"000"))</f>
        <v/>
      </c>
      <c r="B106" s="4" t="n"/>
      <c r="C106" s="4" t="n"/>
      <c r="D106" s="4" t="n"/>
      <c r="E106" s="4" t="n"/>
      <c r="F106" s="4" t="n"/>
      <c r="G106" s="4" t="n"/>
      <c r="H106" s="4" t="n"/>
      <c r="I106" s="4" t="n"/>
      <c r="J106" s="4" t="n"/>
      <c r="K106" s="40" t="n"/>
      <c r="L106" s="4" t="n"/>
      <c r="M106" s="25" t="n"/>
      <c r="N106" s="55" t="n"/>
      <c r="O106" s="25" t="n"/>
      <c r="P106" s="55" t="n"/>
      <c r="Q106" s="25" t="n"/>
      <c r="R106" s="25" t="n"/>
    </row>
    <row r="107">
      <c r="A107" s="4">
        <f>IF(F107="","","OBS-"&amp;TEXT(ROW()-4,"000"))</f>
        <v/>
      </c>
      <c r="B107" s="4" t="n"/>
      <c r="C107" s="4" t="n"/>
      <c r="D107" s="4" t="n"/>
      <c r="E107" s="4" t="n"/>
      <c r="F107" s="4" t="n"/>
      <c r="G107" s="4" t="n"/>
      <c r="H107" s="4" t="n"/>
      <c r="I107" s="4" t="n"/>
      <c r="J107" s="4" t="n"/>
      <c r="K107" s="40" t="n"/>
      <c r="L107" s="4" t="n"/>
      <c r="M107" s="25" t="n"/>
      <c r="N107" s="55" t="n"/>
      <c r="O107" s="25" t="n"/>
      <c r="P107" s="55" t="n"/>
      <c r="Q107" s="25" t="n"/>
      <c r="R107" s="25" t="n"/>
    </row>
    <row r="108">
      <c r="A108" s="4">
        <f>IF(F108="","","OBS-"&amp;TEXT(ROW()-4,"000"))</f>
        <v/>
      </c>
      <c r="B108" s="4" t="n"/>
      <c r="C108" s="4" t="n"/>
      <c r="D108" s="4" t="n"/>
      <c r="E108" s="4" t="n"/>
      <c r="F108" s="4" t="n"/>
      <c r="G108" s="4" t="n"/>
      <c r="H108" s="4" t="n"/>
      <c r="I108" s="4" t="n"/>
      <c r="J108" s="4" t="n"/>
      <c r="K108" s="40" t="n"/>
      <c r="L108" s="4" t="n"/>
      <c r="M108" s="25" t="n"/>
      <c r="N108" s="55" t="n"/>
      <c r="O108" s="25" t="n"/>
      <c r="P108" s="55" t="n"/>
      <c r="Q108" s="25" t="n"/>
      <c r="R108" s="25" t="n"/>
    </row>
    <row r="109">
      <c r="A109" s="4">
        <f>IF(F109="","","OBS-"&amp;TEXT(ROW()-4,"000"))</f>
        <v/>
      </c>
      <c r="B109" s="4" t="n"/>
      <c r="C109" s="4" t="n"/>
      <c r="D109" s="4" t="n"/>
      <c r="E109" s="4" t="n"/>
      <c r="F109" s="4" t="n"/>
      <c r="G109" s="4" t="n"/>
      <c r="H109" s="4" t="n"/>
      <c r="I109" s="4" t="n"/>
      <c r="J109" s="4" t="n"/>
      <c r="K109" s="40" t="n"/>
      <c r="L109" s="4" t="n"/>
      <c r="M109" s="25" t="n"/>
      <c r="N109" s="55" t="n"/>
      <c r="O109" s="25" t="n"/>
      <c r="P109" s="55" t="n"/>
      <c r="Q109" s="25" t="n"/>
      <c r="R109" s="25" t="n"/>
    </row>
    <row r="110">
      <c r="A110" s="4">
        <f>IF(F110="","","OBS-"&amp;TEXT(ROW()-4,"000"))</f>
        <v/>
      </c>
      <c r="B110" s="4" t="n"/>
      <c r="C110" s="4" t="n"/>
      <c r="D110" s="4" t="n"/>
      <c r="E110" s="4" t="n"/>
      <c r="F110" s="4" t="n"/>
      <c r="G110" s="4" t="n"/>
      <c r="H110" s="4" t="n"/>
      <c r="I110" s="4" t="n"/>
      <c r="J110" s="4" t="n"/>
      <c r="K110" s="40" t="n"/>
      <c r="L110" s="4" t="n"/>
      <c r="M110" s="25" t="n"/>
      <c r="N110" s="55" t="n"/>
      <c r="O110" s="25" t="n"/>
      <c r="P110" s="55" t="n"/>
      <c r="Q110" s="25" t="n"/>
      <c r="R110" s="25" t="n"/>
    </row>
    <row r="111">
      <c r="A111" s="4">
        <f>IF(F111="","","OBS-"&amp;TEXT(ROW()-4,"000"))</f>
        <v/>
      </c>
      <c r="B111" s="4" t="n"/>
      <c r="C111" s="4" t="n"/>
      <c r="D111" s="4" t="n"/>
      <c r="E111" s="4" t="n"/>
      <c r="F111" s="4" t="n"/>
      <c r="G111" s="4" t="n"/>
      <c r="H111" s="4" t="n"/>
      <c r="I111" s="4" t="n"/>
      <c r="J111" s="4" t="n"/>
      <c r="K111" s="40" t="n"/>
      <c r="L111" s="4" t="n"/>
      <c r="M111" s="25" t="n"/>
      <c r="N111" s="55" t="n"/>
      <c r="O111" s="25" t="n"/>
      <c r="P111" s="55" t="n"/>
      <c r="Q111" s="25" t="n"/>
      <c r="R111" s="25" t="n"/>
    </row>
    <row r="112">
      <c r="A112" s="4">
        <f>IF(F112="","","OBS-"&amp;TEXT(ROW()-4,"000"))</f>
        <v/>
      </c>
      <c r="B112" s="4" t="n"/>
      <c r="C112" s="4" t="n"/>
      <c r="D112" s="4" t="n"/>
      <c r="E112" s="4" t="n"/>
      <c r="F112" s="4" t="n"/>
      <c r="G112" s="4" t="n"/>
      <c r="H112" s="4" t="n"/>
      <c r="I112" s="4" t="n"/>
      <c r="J112" s="4" t="n"/>
      <c r="K112" s="40" t="n"/>
      <c r="L112" s="4" t="n"/>
      <c r="M112" s="25" t="n"/>
      <c r="N112" s="55" t="n"/>
      <c r="O112" s="25" t="n"/>
      <c r="P112" s="55" t="n"/>
      <c r="Q112" s="25" t="n"/>
      <c r="R112" s="25" t="n"/>
    </row>
    <row r="113">
      <c r="A113" s="4">
        <f>IF(F113="","","OBS-"&amp;TEXT(ROW()-4,"000"))</f>
        <v/>
      </c>
      <c r="B113" s="4" t="n"/>
      <c r="C113" s="4" t="n"/>
      <c r="D113" s="4" t="n"/>
      <c r="E113" s="4" t="n"/>
      <c r="F113" s="4" t="n"/>
      <c r="G113" s="4" t="n"/>
      <c r="H113" s="4" t="n"/>
      <c r="I113" s="4" t="n"/>
      <c r="J113" s="4" t="n"/>
      <c r="K113" s="40" t="n"/>
      <c r="L113" s="4" t="n"/>
      <c r="M113" s="25" t="n"/>
      <c r="N113" s="55" t="n"/>
      <c r="O113" s="25" t="n"/>
      <c r="P113" s="55" t="n"/>
      <c r="Q113" s="25" t="n"/>
      <c r="R113" s="25" t="n"/>
    </row>
    <row r="114">
      <c r="A114" s="4">
        <f>IF(F114="","","OBS-"&amp;TEXT(ROW()-4,"000"))</f>
        <v/>
      </c>
      <c r="B114" s="4" t="n"/>
      <c r="C114" s="4" t="n"/>
      <c r="D114" s="4" t="n"/>
      <c r="E114" s="4" t="n"/>
      <c r="F114" s="4" t="n"/>
      <c r="G114" s="4" t="n"/>
      <c r="H114" s="4" t="n"/>
      <c r="I114" s="4" t="n"/>
      <c r="J114" s="4" t="n"/>
      <c r="K114" s="40" t="n"/>
      <c r="L114" s="4" t="n"/>
      <c r="M114" s="25" t="n"/>
      <c r="N114" s="55" t="n"/>
      <c r="O114" s="25" t="n"/>
      <c r="P114" s="55" t="n"/>
      <c r="Q114" s="25" t="n"/>
      <c r="R114" s="25" t="n"/>
    </row>
    <row r="115">
      <c r="A115" s="4">
        <f>IF(F115="","","OBS-"&amp;TEXT(ROW()-4,"000"))</f>
        <v/>
      </c>
      <c r="B115" s="4" t="n"/>
      <c r="C115" s="4" t="n"/>
      <c r="D115" s="4" t="n"/>
      <c r="E115" s="4" t="n"/>
      <c r="F115" s="4" t="n"/>
      <c r="G115" s="4" t="n"/>
      <c r="H115" s="4" t="n"/>
      <c r="I115" s="4" t="n"/>
      <c r="J115" s="4" t="n"/>
      <c r="K115" s="40" t="n"/>
      <c r="L115" s="4" t="n"/>
      <c r="M115" s="25" t="n"/>
      <c r="N115" s="55" t="n"/>
      <c r="O115" s="25" t="n"/>
      <c r="P115" s="55" t="n"/>
      <c r="Q115" s="25" t="n"/>
      <c r="R115" s="25" t="n"/>
    </row>
    <row r="116">
      <c r="A116" s="4">
        <f>IF(F116="","","OBS-"&amp;TEXT(ROW()-4,"000"))</f>
        <v/>
      </c>
      <c r="B116" s="4" t="n"/>
      <c r="C116" s="4" t="n"/>
      <c r="D116" s="4" t="n"/>
      <c r="E116" s="4" t="n"/>
      <c r="F116" s="4" t="n"/>
      <c r="G116" s="4" t="n"/>
      <c r="H116" s="4" t="n"/>
      <c r="I116" s="4" t="n"/>
      <c r="J116" s="4" t="n"/>
      <c r="K116" s="40" t="n"/>
      <c r="L116" s="4" t="n"/>
      <c r="M116" s="25" t="n"/>
      <c r="N116" s="55" t="n"/>
      <c r="O116" s="25" t="n"/>
      <c r="P116" s="55" t="n"/>
      <c r="Q116" s="25" t="n"/>
      <c r="R116" s="25" t="n"/>
    </row>
    <row r="117">
      <c r="A117" s="4">
        <f>IF(F117="","","OBS-"&amp;TEXT(ROW()-4,"000"))</f>
        <v/>
      </c>
      <c r="B117" s="4" t="n"/>
      <c r="C117" s="4" t="n"/>
      <c r="D117" s="4" t="n"/>
      <c r="E117" s="4" t="n"/>
      <c r="F117" s="4" t="n"/>
      <c r="G117" s="4" t="n"/>
      <c r="H117" s="4" t="n"/>
      <c r="I117" s="4" t="n"/>
      <c r="J117" s="4" t="n"/>
      <c r="K117" s="40" t="n"/>
      <c r="L117" s="4" t="n"/>
      <c r="M117" s="25" t="n"/>
      <c r="N117" s="55" t="n"/>
      <c r="O117" s="25" t="n"/>
      <c r="P117" s="55" t="n"/>
      <c r="Q117" s="25" t="n"/>
      <c r="R117" s="25" t="n"/>
    </row>
    <row r="118">
      <c r="A118" s="4">
        <f>IF(F118="","","OBS-"&amp;TEXT(ROW()-4,"000"))</f>
        <v/>
      </c>
      <c r="B118" s="4" t="n"/>
      <c r="C118" s="4" t="n"/>
      <c r="D118" s="4" t="n"/>
      <c r="E118" s="4" t="n"/>
      <c r="F118" s="4" t="n"/>
      <c r="G118" s="4" t="n"/>
      <c r="H118" s="4" t="n"/>
      <c r="I118" s="4" t="n"/>
      <c r="J118" s="4" t="n"/>
      <c r="K118" s="40" t="n"/>
      <c r="L118" s="4" t="n"/>
      <c r="M118" s="25" t="n"/>
      <c r="N118" s="55" t="n"/>
      <c r="O118" s="25" t="n"/>
      <c r="P118" s="55" t="n"/>
      <c r="Q118" s="25" t="n"/>
      <c r="R118" s="25" t="n"/>
    </row>
    <row r="119">
      <c r="A119" s="4">
        <f>IF(F119="","","OBS-"&amp;TEXT(ROW()-4,"000"))</f>
        <v/>
      </c>
      <c r="B119" s="4" t="n"/>
      <c r="C119" s="4" t="n"/>
      <c r="D119" s="4" t="n"/>
      <c r="E119" s="4" t="n"/>
      <c r="F119" s="4" t="n"/>
      <c r="G119" s="4" t="n"/>
      <c r="H119" s="4" t="n"/>
      <c r="I119" s="4" t="n"/>
      <c r="J119" s="4" t="n"/>
      <c r="K119" s="40" t="n"/>
      <c r="L119" s="4" t="n"/>
      <c r="M119" s="25" t="n"/>
      <c r="N119" s="55" t="n"/>
      <c r="O119" s="25" t="n"/>
      <c r="P119" s="55" t="n"/>
      <c r="Q119" s="25" t="n"/>
      <c r="R119" s="25" t="n"/>
    </row>
    <row r="120">
      <c r="A120" s="4">
        <f>IF(F120="","","OBS-"&amp;TEXT(ROW()-4,"000"))</f>
        <v/>
      </c>
      <c r="B120" s="4" t="n"/>
      <c r="C120" s="4" t="n"/>
      <c r="D120" s="4" t="n"/>
      <c r="E120" s="4" t="n"/>
      <c r="F120" s="4" t="n"/>
      <c r="G120" s="4" t="n"/>
      <c r="H120" s="4" t="n"/>
      <c r="I120" s="4" t="n"/>
      <c r="J120" s="4" t="n"/>
      <c r="K120" s="40" t="n"/>
      <c r="L120" s="4" t="n"/>
      <c r="M120" s="25" t="n"/>
      <c r="N120" s="55" t="n"/>
      <c r="O120" s="25" t="n"/>
      <c r="P120" s="55" t="n"/>
      <c r="Q120" s="25" t="n"/>
      <c r="R120" s="25" t="n"/>
    </row>
    <row r="121">
      <c r="A121" s="4">
        <f>IF(F121="","","OBS-"&amp;TEXT(ROW()-4,"000"))</f>
        <v/>
      </c>
      <c r="B121" s="4" t="n"/>
      <c r="C121" s="4" t="n"/>
      <c r="D121" s="4" t="n"/>
      <c r="E121" s="4" t="n"/>
      <c r="F121" s="4" t="n"/>
      <c r="G121" s="4" t="n"/>
      <c r="H121" s="4" t="n"/>
      <c r="I121" s="4" t="n"/>
      <c r="J121" s="4" t="n"/>
      <c r="K121" s="40" t="n"/>
      <c r="L121" s="4" t="n"/>
      <c r="M121" s="25" t="n"/>
      <c r="N121" s="55" t="n"/>
      <c r="O121" s="25" t="n"/>
      <c r="P121" s="55" t="n"/>
      <c r="Q121" s="25" t="n"/>
      <c r="R121" s="25" t="n"/>
    </row>
    <row r="122">
      <c r="A122" s="4">
        <f>IF(F122="","","OBS-"&amp;TEXT(ROW()-4,"000"))</f>
        <v/>
      </c>
      <c r="B122" s="4" t="n"/>
      <c r="C122" s="4" t="n"/>
      <c r="D122" s="4" t="n"/>
      <c r="E122" s="4" t="n"/>
      <c r="F122" s="4" t="n"/>
      <c r="G122" s="4" t="n"/>
      <c r="H122" s="4" t="n"/>
      <c r="I122" s="4" t="n"/>
      <c r="J122" s="4" t="n"/>
      <c r="K122" s="40" t="n"/>
      <c r="L122" s="4" t="n"/>
      <c r="M122" s="25" t="n"/>
      <c r="N122" s="55" t="n"/>
      <c r="O122" s="25" t="n"/>
      <c r="P122" s="55" t="n"/>
      <c r="Q122" s="25" t="n"/>
      <c r="R122" s="25" t="n"/>
    </row>
    <row r="123">
      <c r="A123" s="4">
        <f>IF(F123="","","OBS-"&amp;TEXT(ROW()-4,"000"))</f>
        <v/>
      </c>
      <c r="B123" s="4" t="n"/>
      <c r="C123" s="4" t="n"/>
      <c r="D123" s="4" t="n"/>
      <c r="E123" s="4" t="n"/>
      <c r="F123" s="4" t="n"/>
      <c r="G123" s="4" t="n"/>
      <c r="H123" s="4" t="n"/>
      <c r="I123" s="4" t="n"/>
      <c r="J123" s="4" t="n"/>
      <c r="K123" s="40" t="n"/>
      <c r="L123" s="4" t="n"/>
      <c r="M123" s="25" t="n"/>
      <c r="N123" s="55" t="n"/>
      <c r="O123" s="25" t="n"/>
      <c r="P123" s="55" t="n"/>
      <c r="Q123" s="25" t="n"/>
      <c r="R123" s="25" t="n"/>
    </row>
    <row r="124">
      <c r="A124" s="4">
        <f>IF(F124="","","OBS-"&amp;TEXT(ROW()-4,"000"))</f>
        <v/>
      </c>
      <c r="B124" s="4" t="n"/>
      <c r="C124" s="4" t="n"/>
      <c r="D124" s="4" t="n"/>
      <c r="E124" s="4" t="n"/>
      <c r="F124" s="4" t="n"/>
      <c r="G124" s="4" t="n"/>
      <c r="H124" s="4" t="n"/>
      <c r="I124" s="4" t="n"/>
      <c r="J124" s="4" t="n"/>
      <c r="K124" s="40" t="n"/>
      <c r="L124" s="4" t="n"/>
      <c r="M124" s="25" t="n"/>
      <c r="N124" s="55" t="n"/>
      <c r="O124" s="25" t="n"/>
      <c r="P124" s="55" t="n"/>
      <c r="Q124" s="25" t="n"/>
      <c r="R124" s="25" t="n"/>
    </row>
    <row r="125">
      <c r="A125" s="4">
        <f>IF(F125="","","OBS-"&amp;TEXT(ROW()-4,"000"))</f>
        <v/>
      </c>
      <c r="B125" s="4" t="n"/>
      <c r="C125" s="4" t="n"/>
      <c r="D125" s="4" t="n"/>
      <c r="E125" s="4" t="n"/>
      <c r="F125" s="4" t="n"/>
      <c r="G125" s="4" t="n"/>
      <c r="H125" s="4" t="n"/>
      <c r="I125" s="4" t="n"/>
      <c r="J125" s="4" t="n"/>
      <c r="K125" s="40" t="n"/>
      <c r="L125" s="4" t="n"/>
      <c r="M125" s="25" t="n"/>
      <c r="N125" s="55" t="n"/>
      <c r="O125" s="25" t="n"/>
      <c r="P125" s="55" t="n"/>
      <c r="Q125" s="25" t="n"/>
      <c r="R125" s="25" t="n"/>
    </row>
    <row r="126">
      <c r="A126" s="4">
        <f>IF(F126="","","OBS-"&amp;TEXT(ROW()-4,"000"))</f>
        <v/>
      </c>
      <c r="B126" s="4" t="n"/>
      <c r="C126" s="4" t="n"/>
      <c r="D126" s="4" t="n"/>
      <c r="E126" s="4" t="n"/>
      <c r="F126" s="4" t="n"/>
      <c r="G126" s="4" t="n"/>
      <c r="H126" s="4" t="n"/>
      <c r="I126" s="4" t="n"/>
      <c r="J126" s="4" t="n"/>
      <c r="K126" s="40" t="n"/>
      <c r="L126" s="4" t="n"/>
      <c r="M126" s="25" t="n"/>
      <c r="N126" s="55" t="n"/>
      <c r="O126" s="25" t="n"/>
      <c r="P126" s="55" t="n"/>
      <c r="Q126" s="25" t="n"/>
      <c r="R126" s="25" t="n"/>
    </row>
    <row r="127">
      <c r="A127" s="4">
        <f>IF(F127="","","OBS-"&amp;TEXT(ROW()-4,"000"))</f>
        <v/>
      </c>
      <c r="B127" s="4" t="n"/>
      <c r="C127" s="4" t="n"/>
      <c r="D127" s="4" t="n"/>
      <c r="E127" s="4" t="n"/>
      <c r="F127" s="4" t="n"/>
      <c r="G127" s="4" t="n"/>
      <c r="H127" s="4" t="n"/>
      <c r="I127" s="4" t="n"/>
      <c r="J127" s="4" t="n"/>
      <c r="K127" s="40" t="n"/>
      <c r="L127" s="4" t="n"/>
      <c r="M127" s="25" t="n"/>
      <c r="N127" s="55" t="n"/>
      <c r="O127" s="25" t="n"/>
      <c r="P127" s="55" t="n"/>
      <c r="Q127" s="25" t="n"/>
      <c r="R127" s="25" t="n"/>
    </row>
    <row r="128">
      <c r="A128" s="4">
        <f>IF(F128="","","OBS-"&amp;TEXT(ROW()-4,"000"))</f>
        <v/>
      </c>
      <c r="B128" s="4" t="n"/>
      <c r="C128" s="4" t="n"/>
      <c r="D128" s="4" t="n"/>
      <c r="E128" s="4" t="n"/>
      <c r="F128" s="4" t="n"/>
      <c r="G128" s="4" t="n"/>
      <c r="H128" s="4" t="n"/>
      <c r="I128" s="4" t="n"/>
      <c r="J128" s="4" t="n"/>
      <c r="K128" s="40" t="n"/>
      <c r="L128" s="4" t="n"/>
      <c r="M128" s="25" t="n"/>
      <c r="N128" s="55" t="n"/>
      <c r="O128" s="25" t="n"/>
      <c r="P128" s="55" t="n"/>
      <c r="Q128" s="25" t="n"/>
      <c r="R128" s="25" t="n"/>
    </row>
    <row r="129">
      <c r="A129" s="4">
        <f>IF(F129="","","OBS-"&amp;TEXT(ROW()-4,"000"))</f>
        <v/>
      </c>
      <c r="B129" s="4" t="n"/>
      <c r="C129" s="4" t="n"/>
      <c r="D129" s="4" t="n"/>
      <c r="E129" s="4" t="n"/>
      <c r="F129" s="4" t="n"/>
      <c r="G129" s="4" t="n"/>
      <c r="H129" s="4" t="n"/>
      <c r="I129" s="4" t="n"/>
      <c r="J129" s="4" t="n"/>
      <c r="K129" s="40" t="n"/>
      <c r="L129" s="4" t="n"/>
      <c r="M129" s="25" t="n"/>
      <c r="N129" s="55" t="n"/>
      <c r="O129" s="25" t="n"/>
      <c r="P129" s="55" t="n"/>
      <c r="Q129" s="25" t="n"/>
      <c r="R129" s="25" t="n"/>
    </row>
    <row r="130">
      <c r="A130" s="4">
        <f>IF(F130="","","OBS-"&amp;TEXT(ROW()-4,"000"))</f>
        <v/>
      </c>
      <c r="B130" s="4" t="n"/>
      <c r="C130" s="4" t="n"/>
      <c r="D130" s="4" t="n"/>
      <c r="E130" s="4" t="n"/>
      <c r="F130" s="4" t="n"/>
      <c r="G130" s="4" t="n"/>
      <c r="H130" s="4" t="n"/>
      <c r="I130" s="4" t="n"/>
      <c r="J130" s="4" t="n"/>
      <c r="K130" s="40" t="n"/>
      <c r="L130" s="4" t="n"/>
      <c r="M130" s="25" t="n"/>
      <c r="N130" s="55" t="n"/>
      <c r="O130" s="25" t="n"/>
      <c r="P130" s="55" t="n"/>
      <c r="Q130" s="25" t="n"/>
      <c r="R130" s="25" t="n"/>
    </row>
    <row r="131">
      <c r="A131" s="4">
        <f>IF(F131="","","OBS-"&amp;TEXT(ROW()-4,"000"))</f>
        <v/>
      </c>
      <c r="B131" s="4" t="n"/>
      <c r="C131" s="4" t="n"/>
      <c r="D131" s="4" t="n"/>
      <c r="E131" s="4" t="n"/>
      <c r="F131" s="4" t="n"/>
      <c r="G131" s="4" t="n"/>
      <c r="H131" s="4" t="n"/>
      <c r="I131" s="4" t="n"/>
      <c r="J131" s="4" t="n"/>
      <c r="K131" s="40" t="n"/>
      <c r="L131" s="4" t="n"/>
      <c r="M131" s="25" t="n"/>
      <c r="N131" s="55" t="n"/>
      <c r="O131" s="25" t="n"/>
      <c r="P131" s="55" t="n"/>
      <c r="Q131" s="25" t="n"/>
      <c r="R131" s="25" t="n"/>
    </row>
    <row r="132">
      <c r="A132" s="4">
        <f>IF(F132="","","OBS-"&amp;TEXT(ROW()-4,"000"))</f>
        <v/>
      </c>
      <c r="B132" s="4" t="n"/>
      <c r="C132" s="4" t="n"/>
      <c r="D132" s="4" t="n"/>
      <c r="E132" s="4" t="n"/>
      <c r="F132" s="4" t="n"/>
      <c r="G132" s="4" t="n"/>
      <c r="H132" s="4" t="n"/>
      <c r="I132" s="4" t="n"/>
      <c r="J132" s="4" t="n"/>
      <c r="K132" s="40" t="n"/>
      <c r="L132" s="4" t="n"/>
      <c r="M132" s="25" t="n"/>
      <c r="N132" s="55" t="n"/>
      <c r="O132" s="25" t="n"/>
      <c r="P132" s="55" t="n"/>
      <c r="Q132" s="25" t="n"/>
      <c r="R132" s="25" t="n"/>
    </row>
    <row r="133">
      <c r="A133" s="4">
        <f>IF(F133="","","OBS-"&amp;TEXT(ROW()-4,"000"))</f>
        <v/>
      </c>
      <c r="B133" s="4" t="n"/>
      <c r="C133" s="4" t="n"/>
      <c r="D133" s="4" t="n"/>
      <c r="E133" s="4" t="n"/>
      <c r="F133" s="4" t="n"/>
      <c r="G133" s="4" t="n"/>
      <c r="H133" s="4" t="n"/>
      <c r="I133" s="4" t="n"/>
      <c r="J133" s="4" t="n"/>
      <c r="K133" s="40" t="n"/>
      <c r="L133" s="4" t="n"/>
      <c r="M133" s="25" t="n"/>
      <c r="N133" s="55" t="n"/>
      <c r="O133" s="25" t="n"/>
      <c r="P133" s="55" t="n"/>
      <c r="Q133" s="25" t="n"/>
      <c r="R133" s="25" t="n"/>
    </row>
    <row r="134">
      <c r="A134" s="4">
        <f>IF(F134="","","OBS-"&amp;TEXT(ROW()-4,"000"))</f>
        <v/>
      </c>
      <c r="B134" s="4" t="n"/>
      <c r="C134" s="4" t="n"/>
      <c r="D134" s="4" t="n"/>
      <c r="E134" s="4" t="n"/>
      <c r="F134" s="4" t="n"/>
      <c r="G134" s="4" t="n"/>
      <c r="H134" s="4" t="n"/>
      <c r="I134" s="4" t="n"/>
      <c r="J134" s="4" t="n"/>
      <c r="K134" s="40" t="n"/>
      <c r="L134" s="4" t="n"/>
      <c r="M134" s="25" t="n"/>
      <c r="N134" s="55" t="n"/>
      <c r="O134" s="25" t="n"/>
      <c r="P134" s="55" t="n"/>
      <c r="Q134" s="25" t="n"/>
      <c r="R134" s="25" t="n"/>
    </row>
    <row r="135">
      <c r="A135" s="4">
        <f>IF(F135="","","OBS-"&amp;TEXT(ROW()-4,"000"))</f>
        <v/>
      </c>
      <c r="B135" s="4" t="n"/>
      <c r="C135" s="4" t="n"/>
      <c r="D135" s="4" t="n"/>
      <c r="E135" s="4" t="n"/>
      <c r="F135" s="4" t="n"/>
      <c r="G135" s="4" t="n"/>
      <c r="H135" s="4" t="n"/>
      <c r="I135" s="4" t="n"/>
      <c r="J135" s="4" t="n"/>
      <c r="K135" s="40" t="n"/>
      <c r="L135" s="4" t="n"/>
      <c r="M135" s="25" t="n"/>
      <c r="N135" s="55" t="n"/>
      <c r="O135" s="25" t="n"/>
      <c r="P135" s="55" t="n"/>
      <c r="Q135" s="25" t="n"/>
      <c r="R135" s="25" t="n"/>
    </row>
    <row r="136">
      <c r="A136" s="4">
        <f>IF(F136="","","OBS-"&amp;TEXT(ROW()-4,"000"))</f>
        <v/>
      </c>
      <c r="B136" s="4" t="n"/>
      <c r="C136" s="4" t="n"/>
      <c r="D136" s="4" t="n"/>
      <c r="E136" s="4" t="n"/>
      <c r="F136" s="4" t="n"/>
      <c r="G136" s="4" t="n"/>
      <c r="H136" s="4" t="n"/>
      <c r="I136" s="4" t="n"/>
      <c r="J136" s="4" t="n"/>
      <c r="K136" s="40" t="n"/>
      <c r="L136" s="4" t="n"/>
      <c r="M136" s="25" t="n"/>
      <c r="N136" s="55" t="n"/>
      <c r="O136" s="25" t="n"/>
      <c r="P136" s="55" t="n"/>
      <c r="Q136" s="25" t="n"/>
      <c r="R136" s="25" t="n"/>
    </row>
    <row r="137">
      <c r="A137" s="4">
        <f>IF(F137="","","OBS-"&amp;TEXT(ROW()-4,"000"))</f>
        <v/>
      </c>
      <c r="B137" s="4" t="n"/>
      <c r="C137" s="4" t="n"/>
      <c r="D137" s="4" t="n"/>
      <c r="E137" s="4" t="n"/>
      <c r="F137" s="4" t="n"/>
      <c r="G137" s="4" t="n"/>
      <c r="H137" s="4" t="n"/>
      <c r="I137" s="4" t="n"/>
      <c r="J137" s="4" t="n"/>
      <c r="K137" s="40" t="n"/>
      <c r="L137" s="4" t="n"/>
      <c r="M137" s="25" t="n"/>
      <c r="N137" s="55" t="n"/>
      <c r="O137" s="25" t="n"/>
      <c r="P137" s="55" t="n"/>
      <c r="Q137" s="25" t="n"/>
      <c r="R137" s="25" t="n"/>
    </row>
    <row r="138">
      <c r="A138" s="4">
        <f>IF(F138="","","OBS-"&amp;TEXT(ROW()-4,"000"))</f>
        <v/>
      </c>
      <c r="B138" s="4" t="n"/>
      <c r="C138" s="4" t="n"/>
      <c r="D138" s="4" t="n"/>
      <c r="E138" s="4" t="n"/>
      <c r="F138" s="4" t="n"/>
      <c r="G138" s="4" t="n"/>
      <c r="H138" s="4" t="n"/>
      <c r="I138" s="4" t="n"/>
      <c r="J138" s="4" t="n"/>
      <c r="K138" s="40" t="n"/>
      <c r="L138" s="4" t="n"/>
      <c r="M138" s="25" t="n"/>
      <c r="N138" s="55" t="n"/>
      <c r="O138" s="25" t="n"/>
      <c r="P138" s="55" t="n"/>
      <c r="Q138" s="25" t="n"/>
      <c r="R138" s="25" t="n"/>
    </row>
    <row r="139">
      <c r="A139" s="4">
        <f>IF(F139="","","OBS-"&amp;TEXT(ROW()-4,"000"))</f>
        <v/>
      </c>
      <c r="B139" s="4" t="n"/>
      <c r="C139" s="4" t="n"/>
      <c r="D139" s="4" t="n"/>
      <c r="E139" s="4" t="n"/>
      <c r="F139" s="4" t="n"/>
      <c r="G139" s="4" t="n"/>
      <c r="H139" s="4" t="n"/>
      <c r="I139" s="4" t="n"/>
      <c r="J139" s="4" t="n"/>
      <c r="K139" s="40" t="n"/>
      <c r="L139" s="4" t="n"/>
      <c r="M139" s="25" t="n"/>
      <c r="N139" s="55" t="n"/>
      <c r="O139" s="25" t="n"/>
      <c r="P139" s="55" t="n"/>
      <c r="Q139" s="25" t="n"/>
      <c r="R139" s="25" t="n"/>
    </row>
    <row r="140">
      <c r="A140" s="4">
        <f>IF(F140="","","OBS-"&amp;TEXT(ROW()-4,"000"))</f>
        <v/>
      </c>
      <c r="B140" s="4" t="n"/>
      <c r="C140" s="4" t="n"/>
      <c r="D140" s="4" t="n"/>
      <c r="E140" s="4" t="n"/>
      <c r="F140" s="4" t="n"/>
      <c r="G140" s="4" t="n"/>
      <c r="H140" s="4" t="n"/>
      <c r="I140" s="4" t="n"/>
      <c r="J140" s="4" t="n"/>
      <c r="K140" s="40" t="n"/>
      <c r="L140" s="4" t="n"/>
      <c r="M140" s="25" t="n"/>
      <c r="N140" s="55" t="n"/>
      <c r="O140" s="25" t="n"/>
      <c r="P140" s="55" t="n"/>
      <c r="Q140" s="25" t="n"/>
      <c r="R140" s="25" t="n"/>
    </row>
    <row r="141">
      <c r="A141" s="4">
        <f>IF(F141="","","OBS-"&amp;TEXT(ROW()-4,"000"))</f>
        <v/>
      </c>
      <c r="B141" s="4" t="n"/>
      <c r="C141" s="4" t="n"/>
      <c r="D141" s="4" t="n"/>
      <c r="E141" s="4" t="n"/>
      <c r="F141" s="4" t="n"/>
      <c r="G141" s="4" t="n"/>
      <c r="H141" s="4" t="n"/>
      <c r="I141" s="4" t="n"/>
      <c r="J141" s="4" t="n"/>
      <c r="K141" s="40" t="n"/>
      <c r="L141" s="4" t="n"/>
      <c r="M141" s="25" t="n"/>
      <c r="N141" s="55" t="n"/>
      <c r="O141" s="25" t="n"/>
      <c r="P141" s="55" t="n"/>
      <c r="Q141" s="25" t="n"/>
      <c r="R141" s="25" t="n"/>
    </row>
    <row r="142">
      <c r="A142" s="4">
        <f>IF(F142="","","OBS-"&amp;TEXT(ROW()-4,"000"))</f>
        <v/>
      </c>
      <c r="B142" s="4" t="n"/>
      <c r="C142" s="4" t="n"/>
      <c r="D142" s="4" t="n"/>
      <c r="E142" s="4" t="n"/>
      <c r="F142" s="4" t="n"/>
      <c r="G142" s="4" t="n"/>
      <c r="H142" s="4" t="n"/>
      <c r="I142" s="4" t="n"/>
      <c r="J142" s="4" t="n"/>
      <c r="K142" s="40" t="n"/>
      <c r="L142" s="4" t="n"/>
      <c r="M142" s="25" t="n"/>
      <c r="N142" s="55" t="n"/>
      <c r="O142" s="25" t="n"/>
      <c r="P142" s="55" t="n"/>
      <c r="Q142" s="25" t="n"/>
      <c r="R142" s="25" t="n"/>
    </row>
    <row r="143">
      <c r="A143" s="4">
        <f>IF(F143="","","OBS-"&amp;TEXT(ROW()-4,"000"))</f>
        <v/>
      </c>
      <c r="B143" s="4" t="n"/>
      <c r="C143" s="4" t="n"/>
      <c r="D143" s="4" t="n"/>
      <c r="E143" s="4" t="n"/>
      <c r="F143" s="4" t="n"/>
      <c r="G143" s="4" t="n"/>
      <c r="H143" s="4" t="n"/>
      <c r="I143" s="4" t="n"/>
      <c r="J143" s="4" t="n"/>
      <c r="K143" s="40" t="n"/>
      <c r="L143" s="4" t="n"/>
      <c r="M143" s="25" t="n"/>
      <c r="N143" s="55" t="n"/>
      <c r="O143" s="25" t="n"/>
      <c r="P143" s="55" t="n"/>
      <c r="Q143" s="25" t="n"/>
      <c r="R143" s="25" t="n"/>
    </row>
    <row r="144">
      <c r="A144" s="4">
        <f>IF(F144="","","OBS-"&amp;TEXT(ROW()-4,"000"))</f>
        <v/>
      </c>
      <c r="B144" s="4" t="n"/>
      <c r="C144" s="4" t="n"/>
      <c r="D144" s="4" t="n"/>
      <c r="E144" s="4" t="n"/>
      <c r="F144" s="4" t="n"/>
      <c r="G144" s="4" t="n"/>
      <c r="H144" s="4" t="n"/>
      <c r="I144" s="4" t="n"/>
      <c r="J144" s="4" t="n"/>
      <c r="K144" s="40" t="n"/>
      <c r="L144" s="4" t="n"/>
      <c r="M144" s="25" t="n"/>
      <c r="N144" s="55" t="n"/>
      <c r="O144" s="25" t="n"/>
      <c r="P144" s="55" t="n"/>
      <c r="Q144" s="25" t="n"/>
      <c r="R144" s="25" t="n"/>
    </row>
    <row r="145">
      <c r="A145" s="4">
        <f>IF(F145="","","OBS-"&amp;TEXT(ROW()-4,"000"))</f>
        <v/>
      </c>
      <c r="B145" s="4" t="n"/>
      <c r="C145" s="4" t="n"/>
      <c r="D145" s="4" t="n"/>
      <c r="E145" s="4" t="n"/>
      <c r="F145" s="4" t="n"/>
      <c r="G145" s="4" t="n"/>
      <c r="H145" s="4" t="n"/>
      <c r="I145" s="4" t="n"/>
      <c r="J145" s="4" t="n"/>
      <c r="K145" s="40" t="n"/>
      <c r="L145" s="4" t="n"/>
      <c r="M145" s="25" t="n"/>
      <c r="N145" s="55" t="n"/>
      <c r="O145" s="25" t="n"/>
      <c r="P145" s="55" t="n"/>
      <c r="Q145" s="25" t="n"/>
      <c r="R145" s="25" t="n"/>
    </row>
    <row r="146">
      <c r="A146" s="4">
        <f>IF(F146="","","OBS-"&amp;TEXT(ROW()-4,"000"))</f>
        <v/>
      </c>
      <c r="B146" s="4" t="n"/>
      <c r="C146" s="4" t="n"/>
      <c r="D146" s="4" t="n"/>
      <c r="E146" s="4" t="n"/>
      <c r="F146" s="4" t="n"/>
      <c r="G146" s="4" t="n"/>
      <c r="H146" s="4" t="n"/>
      <c r="I146" s="4" t="n"/>
      <c r="J146" s="4" t="n"/>
      <c r="K146" s="40" t="n"/>
      <c r="L146" s="4" t="n"/>
      <c r="M146" s="25" t="n"/>
      <c r="N146" s="55" t="n"/>
      <c r="O146" s="25" t="n"/>
      <c r="P146" s="55" t="n"/>
      <c r="Q146" s="25" t="n"/>
      <c r="R146" s="25" t="n"/>
    </row>
    <row r="147">
      <c r="A147" s="4">
        <f>IF(F147="","","OBS-"&amp;TEXT(ROW()-4,"000"))</f>
        <v/>
      </c>
      <c r="B147" s="4" t="n"/>
      <c r="C147" s="4" t="n"/>
      <c r="D147" s="4" t="n"/>
      <c r="E147" s="4" t="n"/>
      <c r="F147" s="4" t="n"/>
      <c r="G147" s="4" t="n"/>
      <c r="H147" s="4" t="n"/>
      <c r="I147" s="4" t="n"/>
      <c r="J147" s="4" t="n"/>
      <c r="K147" s="40" t="n"/>
      <c r="L147" s="4" t="n"/>
      <c r="M147" s="25" t="n"/>
      <c r="N147" s="55" t="n"/>
      <c r="O147" s="25" t="n"/>
      <c r="P147" s="55" t="n"/>
      <c r="Q147" s="25" t="n"/>
      <c r="R147" s="25" t="n"/>
    </row>
    <row r="148">
      <c r="A148" s="4">
        <f>IF(F148="","","OBS-"&amp;TEXT(ROW()-4,"000"))</f>
        <v/>
      </c>
      <c r="B148" s="4" t="n"/>
      <c r="C148" s="4" t="n"/>
      <c r="D148" s="4" t="n"/>
      <c r="E148" s="4" t="n"/>
      <c r="F148" s="4" t="n"/>
      <c r="G148" s="4" t="n"/>
      <c r="H148" s="4" t="n"/>
      <c r="I148" s="4" t="n"/>
      <c r="J148" s="4" t="n"/>
      <c r="K148" s="40" t="n"/>
      <c r="L148" s="4" t="n"/>
      <c r="M148" s="25" t="n"/>
      <c r="N148" s="55" t="n"/>
      <c r="O148" s="25" t="n"/>
      <c r="P148" s="55" t="n"/>
      <c r="Q148" s="25" t="n"/>
      <c r="R148" s="25" t="n"/>
    </row>
    <row r="149">
      <c r="A149" s="4">
        <f>IF(F149="","","OBS-"&amp;TEXT(ROW()-4,"000"))</f>
        <v/>
      </c>
      <c r="B149" s="4" t="n"/>
      <c r="C149" s="4" t="n"/>
      <c r="D149" s="4" t="n"/>
      <c r="E149" s="4" t="n"/>
      <c r="F149" s="4" t="n"/>
      <c r="G149" s="4" t="n"/>
      <c r="H149" s="4" t="n"/>
      <c r="I149" s="4" t="n"/>
      <c r="J149" s="4" t="n"/>
      <c r="K149" s="40" t="n"/>
      <c r="L149" s="4" t="n"/>
      <c r="M149" s="25" t="n"/>
      <c r="N149" s="55" t="n"/>
      <c r="O149" s="25" t="n"/>
      <c r="P149" s="55" t="n"/>
      <c r="Q149" s="25" t="n"/>
      <c r="R149" s="25" t="n"/>
    </row>
    <row r="150">
      <c r="A150" s="4">
        <f>IF(F150="","","OBS-"&amp;TEXT(ROW()-4,"000"))</f>
        <v/>
      </c>
      <c r="B150" s="4" t="n"/>
      <c r="C150" s="4" t="n"/>
      <c r="D150" s="4" t="n"/>
      <c r="E150" s="4" t="n"/>
      <c r="F150" s="4" t="n"/>
      <c r="G150" s="4" t="n"/>
      <c r="H150" s="4" t="n"/>
      <c r="I150" s="4" t="n"/>
      <c r="J150" s="4" t="n"/>
      <c r="K150" s="40" t="n"/>
      <c r="L150" s="4" t="n"/>
      <c r="M150" s="25" t="n"/>
      <c r="N150" s="55" t="n"/>
      <c r="O150" s="25" t="n"/>
      <c r="P150" s="55" t="n"/>
      <c r="Q150" s="25" t="n"/>
      <c r="R150" s="25" t="n"/>
    </row>
    <row r="151">
      <c r="A151" s="4">
        <f>IF(F151="","","OBS-"&amp;TEXT(ROW()-4,"000"))</f>
        <v/>
      </c>
      <c r="B151" s="4" t="n"/>
      <c r="C151" s="4" t="n"/>
      <c r="D151" s="4" t="n"/>
      <c r="E151" s="4" t="n"/>
      <c r="F151" s="4" t="n"/>
      <c r="G151" s="4" t="n"/>
      <c r="H151" s="4" t="n"/>
      <c r="I151" s="4" t="n"/>
      <c r="J151" s="4" t="n"/>
      <c r="K151" s="40" t="n"/>
      <c r="L151" s="4" t="n"/>
      <c r="M151" s="25" t="n"/>
      <c r="N151" s="55" t="n"/>
      <c r="O151" s="25" t="n"/>
      <c r="P151" s="55" t="n"/>
      <c r="Q151" s="25" t="n"/>
      <c r="R151" s="25" t="n"/>
    </row>
    <row r="152">
      <c r="A152" s="4">
        <f>IF(F152="","","OBS-"&amp;TEXT(ROW()-4,"000"))</f>
        <v/>
      </c>
      <c r="B152" s="4" t="n"/>
      <c r="C152" s="4" t="n"/>
      <c r="D152" s="4" t="n"/>
      <c r="E152" s="4" t="n"/>
      <c r="F152" s="4" t="n"/>
      <c r="G152" s="4" t="n"/>
      <c r="H152" s="4" t="n"/>
      <c r="I152" s="4" t="n"/>
      <c r="J152" s="4" t="n"/>
      <c r="K152" s="40" t="n"/>
      <c r="L152" s="4" t="n"/>
      <c r="M152" s="25" t="n"/>
      <c r="N152" s="55" t="n"/>
      <c r="O152" s="25" t="n"/>
      <c r="P152" s="55" t="n"/>
      <c r="Q152" s="25" t="n"/>
      <c r="R152" s="25" t="n"/>
    </row>
    <row r="153">
      <c r="A153" s="4">
        <f>IF(F153="","","OBS-"&amp;TEXT(ROW()-4,"000"))</f>
        <v/>
      </c>
      <c r="B153" s="4" t="n"/>
      <c r="C153" s="4" t="n"/>
      <c r="D153" s="4" t="n"/>
      <c r="E153" s="4" t="n"/>
      <c r="F153" s="4" t="n"/>
      <c r="G153" s="4" t="n"/>
      <c r="H153" s="4" t="n"/>
      <c r="I153" s="4" t="n"/>
      <c r="J153" s="4" t="n"/>
      <c r="K153" s="40" t="n"/>
      <c r="L153" s="4" t="n"/>
      <c r="M153" s="25" t="n"/>
      <c r="N153" s="55" t="n"/>
      <c r="O153" s="25" t="n"/>
      <c r="P153" s="55" t="n"/>
      <c r="Q153" s="25" t="n"/>
      <c r="R153" s="25" t="n"/>
    </row>
    <row r="154">
      <c r="A154" s="4">
        <f>IF(F154="","","OBS-"&amp;TEXT(ROW()-4,"000"))</f>
        <v/>
      </c>
      <c r="B154" s="4" t="n"/>
      <c r="C154" s="4" t="n"/>
      <c r="D154" s="4" t="n"/>
      <c r="E154" s="4" t="n"/>
      <c r="F154" s="4" t="n"/>
      <c r="G154" s="4" t="n"/>
      <c r="H154" s="4" t="n"/>
      <c r="I154" s="4" t="n"/>
      <c r="J154" s="4" t="n"/>
      <c r="K154" s="40" t="n"/>
      <c r="L154" s="4" t="n"/>
      <c r="M154" s="25" t="n"/>
      <c r="N154" s="55" t="n"/>
      <c r="O154" s="25" t="n"/>
      <c r="P154" s="55" t="n"/>
      <c r="Q154" s="25" t="n"/>
      <c r="R154" s="25" t="n"/>
    </row>
    <row r="155">
      <c r="A155" s="4">
        <f>IF(F155="","","OBS-"&amp;TEXT(ROW()-4,"000"))</f>
        <v/>
      </c>
      <c r="B155" s="4" t="n"/>
      <c r="C155" s="4" t="n"/>
      <c r="D155" s="4" t="n"/>
      <c r="E155" s="4" t="n"/>
      <c r="F155" s="4" t="n"/>
      <c r="G155" s="4" t="n"/>
      <c r="H155" s="4" t="n"/>
      <c r="I155" s="4" t="n"/>
      <c r="J155" s="4" t="n"/>
      <c r="K155" s="40" t="n"/>
      <c r="L155" s="4" t="n"/>
      <c r="M155" s="25" t="n"/>
      <c r="N155" s="55" t="n"/>
      <c r="O155" s="25" t="n"/>
      <c r="P155" s="55" t="n"/>
      <c r="Q155" s="25" t="n"/>
      <c r="R155" s="25" t="n"/>
    </row>
    <row r="156">
      <c r="A156" s="4">
        <f>IF(F156="","","OBS-"&amp;TEXT(ROW()-4,"000"))</f>
        <v/>
      </c>
      <c r="B156" s="4" t="n"/>
      <c r="C156" s="4" t="n"/>
      <c r="D156" s="4" t="n"/>
      <c r="E156" s="4" t="n"/>
      <c r="F156" s="4" t="n"/>
      <c r="G156" s="4" t="n"/>
      <c r="H156" s="4" t="n"/>
      <c r="I156" s="4" t="n"/>
      <c r="J156" s="4" t="n"/>
      <c r="K156" s="40" t="n"/>
      <c r="L156" s="4" t="n"/>
      <c r="M156" s="25" t="n"/>
      <c r="N156" s="55" t="n"/>
      <c r="O156" s="25" t="n"/>
      <c r="P156" s="55" t="n"/>
      <c r="Q156" s="25" t="n"/>
      <c r="R156" s="25" t="n"/>
    </row>
    <row r="157">
      <c r="A157" s="4">
        <f>IF(F157="","","OBS-"&amp;TEXT(ROW()-4,"000"))</f>
        <v/>
      </c>
      <c r="B157" s="4" t="n"/>
      <c r="C157" s="4" t="n"/>
      <c r="D157" s="4" t="n"/>
      <c r="E157" s="4" t="n"/>
      <c r="F157" s="4" t="n"/>
      <c r="G157" s="4" t="n"/>
      <c r="H157" s="4" t="n"/>
      <c r="I157" s="4" t="n"/>
      <c r="J157" s="4" t="n"/>
      <c r="K157" s="40" t="n"/>
      <c r="L157" s="4" t="n"/>
      <c r="M157" s="25" t="n"/>
      <c r="N157" s="55" t="n"/>
      <c r="O157" s="25" t="n"/>
      <c r="P157" s="55" t="n"/>
      <c r="Q157" s="25" t="n"/>
      <c r="R157" s="25" t="n"/>
    </row>
    <row r="158">
      <c r="A158" s="4">
        <f>IF(F158="","","OBS-"&amp;TEXT(ROW()-4,"000"))</f>
        <v/>
      </c>
      <c r="B158" s="4" t="n"/>
      <c r="C158" s="4" t="n"/>
      <c r="D158" s="4" t="n"/>
      <c r="E158" s="4" t="n"/>
      <c r="F158" s="4" t="n"/>
      <c r="G158" s="4" t="n"/>
      <c r="H158" s="4" t="n"/>
      <c r="I158" s="4" t="n"/>
      <c r="J158" s="4" t="n"/>
      <c r="K158" s="40" t="n"/>
      <c r="L158" s="4" t="n"/>
      <c r="M158" s="25" t="n"/>
      <c r="N158" s="55" t="n"/>
      <c r="O158" s="25" t="n"/>
      <c r="P158" s="55" t="n"/>
      <c r="Q158" s="25" t="n"/>
      <c r="R158" s="25" t="n"/>
    </row>
    <row r="159">
      <c r="A159" s="4">
        <f>IF(F159="","","OBS-"&amp;TEXT(ROW()-4,"000"))</f>
        <v/>
      </c>
      <c r="B159" s="4" t="n"/>
      <c r="C159" s="4" t="n"/>
      <c r="D159" s="4" t="n"/>
      <c r="E159" s="4" t="n"/>
      <c r="F159" s="4" t="n"/>
      <c r="G159" s="4" t="n"/>
      <c r="H159" s="4" t="n"/>
      <c r="I159" s="4" t="n"/>
      <c r="J159" s="4" t="n"/>
      <c r="K159" s="40" t="n"/>
      <c r="L159" s="4" t="n"/>
      <c r="M159" s="25" t="n"/>
      <c r="N159" s="55" t="n"/>
      <c r="O159" s="25" t="n"/>
      <c r="P159" s="55" t="n"/>
      <c r="Q159" s="25" t="n"/>
      <c r="R159" s="25" t="n"/>
    </row>
    <row r="160">
      <c r="A160" s="4">
        <f>IF(F160="","","OBS-"&amp;TEXT(ROW()-4,"000"))</f>
        <v/>
      </c>
      <c r="B160" s="4" t="n"/>
      <c r="C160" s="4" t="n"/>
      <c r="D160" s="4" t="n"/>
      <c r="E160" s="4" t="n"/>
      <c r="F160" s="4" t="n"/>
      <c r="G160" s="4" t="n"/>
      <c r="H160" s="4" t="n"/>
      <c r="I160" s="4" t="n"/>
      <c r="J160" s="4" t="n"/>
      <c r="K160" s="40" t="n"/>
      <c r="L160" s="4" t="n"/>
      <c r="M160" s="25" t="n"/>
      <c r="N160" s="55" t="n"/>
      <c r="O160" s="25" t="n"/>
      <c r="P160" s="55" t="n"/>
      <c r="Q160" s="25" t="n"/>
      <c r="R160" s="25" t="n"/>
    </row>
    <row r="161">
      <c r="A161" s="4">
        <f>IF(F161="","","OBS-"&amp;TEXT(ROW()-4,"000"))</f>
        <v/>
      </c>
      <c r="B161" s="4" t="n"/>
      <c r="C161" s="4" t="n"/>
      <c r="D161" s="4" t="n"/>
      <c r="E161" s="4" t="n"/>
      <c r="F161" s="4" t="n"/>
      <c r="G161" s="4" t="n"/>
      <c r="H161" s="4" t="n"/>
      <c r="I161" s="4" t="n"/>
      <c r="J161" s="4" t="n"/>
      <c r="K161" s="40" t="n"/>
      <c r="L161" s="4" t="n"/>
      <c r="M161" s="25" t="n"/>
      <c r="N161" s="55" t="n"/>
      <c r="O161" s="25" t="n"/>
      <c r="P161" s="55" t="n"/>
      <c r="Q161" s="25" t="n"/>
      <c r="R161" s="25" t="n"/>
    </row>
    <row r="162">
      <c r="A162" s="4">
        <f>IF(F162="","","OBS-"&amp;TEXT(ROW()-4,"000"))</f>
        <v/>
      </c>
      <c r="B162" s="4" t="n"/>
      <c r="C162" s="4" t="n"/>
      <c r="D162" s="4" t="n"/>
      <c r="E162" s="4" t="n"/>
      <c r="F162" s="4" t="n"/>
      <c r="G162" s="4" t="n"/>
      <c r="H162" s="4" t="n"/>
      <c r="I162" s="4" t="n"/>
      <c r="J162" s="4" t="n"/>
      <c r="K162" s="40" t="n"/>
      <c r="L162" s="4" t="n"/>
      <c r="M162" s="25" t="n"/>
      <c r="N162" s="55" t="n"/>
      <c r="O162" s="25" t="n"/>
      <c r="P162" s="55" t="n"/>
      <c r="Q162" s="25" t="n"/>
      <c r="R162" s="25" t="n"/>
    </row>
    <row r="163">
      <c r="A163" s="4">
        <f>IF(F163="","","OBS-"&amp;TEXT(ROW()-4,"000"))</f>
        <v/>
      </c>
      <c r="B163" s="4" t="n"/>
      <c r="C163" s="4" t="n"/>
      <c r="D163" s="4" t="n"/>
      <c r="E163" s="4" t="n"/>
      <c r="F163" s="4" t="n"/>
      <c r="G163" s="4" t="n"/>
      <c r="H163" s="4" t="n"/>
      <c r="I163" s="4" t="n"/>
      <c r="J163" s="4" t="n"/>
      <c r="K163" s="40" t="n"/>
      <c r="L163" s="4" t="n"/>
      <c r="M163" s="25" t="n"/>
      <c r="N163" s="55" t="n"/>
      <c r="O163" s="25" t="n"/>
      <c r="P163" s="55" t="n"/>
      <c r="Q163" s="25" t="n"/>
      <c r="R163" s="25" t="n"/>
    </row>
    <row r="164">
      <c r="A164" s="4">
        <f>IF(F164="","","OBS-"&amp;TEXT(ROW()-4,"000"))</f>
        <v/>
      </c>
      <c r="B164" s="4" t="n"/>
      <c r="C164" s="4" t="n"/>
      <c r="D164" s="4" t="n"/>
      <c r="E164" s="4" t="n"/>
      <c r="F164" s="4" t="n"/>
      <c r="G164" s="4" t="n"/>
      <c r="H164" s="4" t="n"/>
      <c r="I164" s="4" t="n"/>
      <c r="J164" s="4" t="n"/>
      <c r="K164" s="40" t="n"/>
      <c r="L164" s="4" t="n"/>
      <c r="M164" s="25" t="n"/>
      <c r="N164" s="55" t="n"/>
      <c r="O164" s="25" t="n"/>
      <c r="P164" s="55" t="n"/>
      <c r="Q164" s="25" t="n"/>
      <c r="R164" s="25" t="n"/>
    </row>
    <row r="165">
      <c r="A165" s="4">
        <f>IF(F165="","","OBS-"&amp;TEXT(ROW()-4,"000"))</f>
        <v/>
      </c>
      <c r="B165" s="4" t="n"/>
      <c r="C165" s="4" t="n"/>
      <c r="D165" s="4" t="n"/>
      <c r="E165" s="4" t="n"/>
      <c r="F165" s="4" t="n"/>
      <c r="G165" s="4" t="n"/>
      <c r="H165" s="4" t="n"/>
      <c r="I165" s="4" t="n"/>
      <c r="J165" s="4" t="n"/>
      <c r="K165" s="40" t="n"/>
      <c r="L165" s="4" t="n"/>
      <c r="M165" s="25" t="n"/>
      <c r="N165" s="55" t="n"/>
      <c r="O165" s="25" t="n"/>
      <c r="P165" s="55" t="n"/>
      <c r="Q165" s="25" t="n"/>
      <c r="R165" s="25" t="n"/>
    </row>
    <row r="166">
      <c r="A166" s="4">
        <f>IF(F166="","","OBS-"&amp;TEXT(ROW()-4,"000"))</f>
        <v/>
      </c>
      <c r="B166" s="4" t="n"/>
      <c r="C166" s="4" t="n"/>
      <c r="D166" s="4" t="n"/>
      <c r="E166" s="4" t="n"/>
      <c r="F166" s="4" t="n"/>
      <c r="G166" s="4" t="n"/>
      <c r="H166" s="4" t="n"/>
      <c r="I166" s="4" t="n"/>
      <c r="J166" s="4" t="n"/>
      <c r="K166" s="40" t="n"/>
      <c r="L166" s="4" t="n"/>
      <c r="M166" s="25" t="n"/>
      <c r="N166" s="55" t="n"/>
      <c r="O166" s="25" t="n"/>
      <c r="P166" s="55" t="n"/>
      <c r="Q166" s="25" t="n"/>
      <c r="R166" s="25" t="n"/>
    </row>
    <row r="167">
      <c r="A167" s="4">
        <f>IF(F167="","","OBS-"&amp;TEXT(ROW()-4,"000"))</f>
        <v/>
      </c>
      <c r="B167" s="4" t="n"/>
      <c r="C167" s="4" t="n"/>
      <c r="D167" s="4" t="n"/>
      <c r="E167" s="4" t="n"/>
      <c r="F167" s="4" t="n"/>
      <c r="G167" s="4" t="n"/>
      <c r="H167" s="4" t="n"/>
      <c r="I167" s="4" t="n"/>
      <c r="J167" s="4" t="n"/>
      <c r="K167" s="40" t="n"/>
      <c r="L167" s="4" t="n"/>
      <c r="M167" s="25" t="n"/>
      <c r="N167" s="55" t="n"/>
      <c r="O167" s="25" t="n"/>
      <c r="P167" s="55" t="n"/>
      <c r="Q167" s="25" t="n"/>
      <c r="R167" s="25" t="n"/>
    </row>
    <row r="168">
      <c r="A168" s="4">
        <f>IF(F168="","","OBS-"&amp;TEXT(ROW()-4,"000"))</f>
        <v/>
      </c>
      <c r="B168" s="4" t="n"/>
      <c r="C168" s="4" t="n"/>
      <c r="D168" s="4" t="n"/>
      <c r="E168" s="4" t="n"/>
      <c r="F168" s="4" t="n"/>
      <c r="G168" s="4" t="n"/>
      <c r="H168" s="4" t="n"/>
      <c r="I168" s="4" t="n"/>
      <c r="J168" s="4" t="n"/>
      <c r="K168" s="40" t="n"/>
      <c r="L168" s="4" t="n"/>
      <c r="M168" s="25" t="n"/>
      <c r="N168" s="55" t="n"/>
      <c r="O168" s="25" t="n"/>
      <c r="P168" s="55" t="n"/>
      <c r="Q168" s="25" t="n"/>
      <c r="R168" s="25" t="n"/>
    </row>
    <row r="169">
      <c r="A169" s="4">
        <f>IF(F169="","","OBS-"&amp;TEXT(ROW()-4,"000"))</f>
        <v/>
      </c>
      <c r="B169" s="4" t="n"/>
      <c r="C169" s="4" t="n"/>
      <c r="D169" s="4" t="n"/>
      <c r="E169" s="4" t="n"/>
      <c r="F169" s="4" t="n"/>
      <c r="G169" s="4" t="n"/>
      <c r="H169" s="4" t="n"/>
      <c r="I169" s="4" t="n"/>
      <c r="J169" s="4" t="n"/>
      <c r="K169" s="40" t="n"/>
      <c r="L169" s="4" t="n"/>
      <c r="M169" s="25" t="n"/>
      <c r="N169" s="55" t="n"/>
      <c r="O169" s="25" t="n"/>
      <c r="P169" s="55" t="n"/>
      <c r="Q169" s="25" t="n"/>
      <c r="R169" s="25" t="n"/>
    </row>
    <row r="170">
      <c r="A170" s="4">
        <f>IF(F170="","","OBS-"&amp;TEXT(ROW()-4,"000"))</f>
        <v/>
      </c>
      <c r="B170" s="4" t="n"/>
      <c r="C170" s="4" t="n"/>
      <c r="D170" s="4" t="n"/>
      <c r="E170" s="4" t="n"/>
      <c r="F170" s="4" t="n"/>
      <c r="G170" s="4" t="n"/>
      <c r="H170" s="4" t="n"/>
      <c r="I170" s="4" t="n"/>
      <c r="J170" s="4" t="n"/>
      <c r="K170" s="40" t="n"/>
      <c r="L170" s="4" t="n"/>
      <c r="M170" s="25" t="n"/>
      <c r="N170" s="55" t="n"/>
      <c r="O170" s="25" t="n"/>
      <c r="P170" s="55" t="n"/>
      <c r="Q170" s="25" t="n"/>
      <c r="R170" s="25" t="n"/>
    </row>
    <row r="171">
      <c r="A171" s="4">
        <f>IF(F171="","","OBS-"&amp;TEXT(ROW()-4,"000"))</f>
        <v/>
      </c>
      <c r="B171" s="4" t="n"/>
      <c r="C171" s="4" t="n"/>
      <c r="D171" s="4" t="n"/>
      <c r="E171" s="4" t="n"/>
      <c r="F171" s="4" t="n"/>
      <c r="G171" s="4" t="n"/>
      <c r="H171" s="4" t="n"/>
      <c r="I171" s="4" t="n"/>
      <c r="J171" s="4" t="n"/>
      <c r="K171" s="40" t="n"/>
      <c r="L171" s="4" t="n"/>
      <c r="M171" s="25" t="n"/>
      <c r="N171" s="55" t="n"/>
      <c r="O171" s="25" t="n"/>
      <c r="P171" s="55" t="n"/>
      <c r="Q171" s="25" t="n"/>
      <c r="R171" s="25" t="n"/>
    </row>
    <row r="172">
      <c r="A172" s="4">
        <f>IF(F172="","","OBS-"&amp;TEXT(ROW()-4,"000"))</f>
        <v/>
      </c>
      <c r="B172" s="4" t="n"/>
      <c r="C172" s="4" t="n"/>
      <c r="D172" s="4" t="n"/>
      <c r="E172" s="4" t="n"/>
      <c r="F172" s="4" t="n"/>
      <c r="G172" s="4" t="n"/>
      <c r="H172" s="4" t="n"/>
      <c r="I172" s="4" t="n"/>
      <c r="J172" s="4" t="n"/>
      <c r="K172" s="40" t="n"/>
      <c r="L172" s="4" t="n"/>
      <c r="M172" s="25" t="n"/>
      <c r="N172" s="55" t="n"/>
      <c r="O172" s="25" t="n"/>
      <c r="P172" s="55" t="n"/>
      <c r="Q172" s="25" t="n"/>
      <c r="R172" s="25" t="n"/>
    </row>
    <row r="173">
      <c r="A173" s="4">
        <f>IF(F173="","","OBS-"&amp;TEXT(ROW()-4,"000"))</f>
        <v/>
      </c>
      <c r="B173" s="4" t="n"/>
      <c r="C173" s="4" t="n"/>
      <c r="D173" s="4" t="n"/>
      <c r="E173" s="4" t="n"/>
      <c r="F173" s="4" t="n"/>
      <c r="G173" s="4" t="n"/>
      <c r="H173" s="4" t="n"/>
      <c r="I173" s="4" t="n"/>
      <c r="J173" s="4" t="n"/>
      <c r="K173" s="40" t="n"/>
      <c r="L173" s="4" t="n"/>
      <c r="M173" s="25" t="n"/>
      <c r="N173" s="55" t="n"/>
      <c r="O173" s="25" t="n"/>
      <c r="P173" s="55" t="n"/>
      <c r="Q173" s="25" t="n"/>
      <c r="R173" s="25" t="n"/>
    </row>
    <row r="174">
      <c r="A174" s="4">
        <f>IF(F174="","","OBS-"&amp;TEXT(ROW()-4,"000"))</f>
        <v/>
      </c>
      <c r="B174" s="4" t="n"/>
      <c r="C174" s="4" t="n"/>
      <c r="D174" s="4" t="n"/>
      <c r="E174" s="4" t="n"/>
      <c r="F174" s="4" t="n"/>
      <c r="G174" s="4" t="n"/>
      <c r="H174" s="4" t="n"/>
      <c r="I174" s="4" t="n"/>
      <c r="J174" s="4" t="n"/>
      <c r="K174" s="40" t="n"/>
      <c r="L174" s="4" t="n"/>
      <c r="M174" s="25" t="n"/>
      <c r="N174" s="55" t="n"/>
      <c r="O174" s="25" t="n"/>
      <c r="P174" s="55" t="n"/>
      <c r="Q174" s="25" t="n"/>
      <c r="R174" s="25" t="n"/>
    </row>
    <row r="175">
      <c r="A175" s="4">
        <f>IF(F175="","","OBS-"&amp;TEXT(ROW()-4,"000"))</f>
        <v/>
      </c>
      <c r="B175" s="4" t="n"/>
      <c r="C175" s="4" t="n"/>
      <c r="D175" s="4" t="n"/>
      <c r="E175" s="4" t="n"/>
      <c r="F175" s="4" t="n"/>
      <c r="G175" s="4" t="n"/>
      <c r="H175" s="4" t="n"/>
      <c r="I175" s="4" t="n"/>
      <c r="J175" s="4" t="n"/>
      <c r="K175" s="40" t="n"/>
      <c r="L175" s="4" t="n"/>
      <c r="M175" s="25" t="n"/>
      <c r="N175" s="55" t="n"/>
      <c r="O175" s="25" t="n"/>
      <c r="P175" s="55" t="n"/>
      <c r="Q175" s="25" t="n"/>
      <c r="R175" s="25" t="n"/>
    </row>
    <row r="176">
      <c r="A176" s="4">
        <f>IF(F176="","","OBS-"&amp;TEXT(ROW()-4,"000"))</f>
        <v/>
      </c>
      <c r="B176" s="4" t="n"/>
      <c r="C176" s="4" t="n"/>
      <c r="D176" s="4" t="n"/>
      <c r="E176" s="4" t="n"/>
      <c r="F176" s="4" t="n"/>
      <c r="G176" s="4" t="n"/>
      <c r="H176" s="4" t="n"/>
      <c r="I176" s="4" t="n"/>
      <c r="J176" s="4" t="n"/>
      <c r="K176" s="40" t="n"/>
      <c r="L176" s="4" t="n"/>
      <c r="M176" s="25" t="n"/>
      <c r="N176" s="55" t="n"/>
      <c r="O176" s="25" t="n"/>
      <c r="P176" s="55" t="n"/>
      <c r="Q176" s="25" t="n"/>
      <c r="R176" s="25" t="n"/>
    </row>
    <row r="177">
      <c r="A177" s="4">
        <f>IF(F177="","","OBS-"&amp;TEXT(ROW()-4,"000"))</f>
        <v/>
      </c>
      <c r="B177" s="4" t="n"/>
      <c r="C177" s="4" t="n"/>
      <c r="D177" s="4" t="n"/>
      <c r="E177" s="4" t="n"/>
      <c r="F177" s="4" t="n"/>
      <c r="G177" s="4" t="n"/>
      <c r="H177" s="4" t="n"/>
      <c r="I177" s="4" t="n"/>
      <c r="J177" s="4" t="n"/>
      <c r="K177" s="40" t="n"/>
      <c r="L177" s="4" t="n"/>
      <c r="M177" s="25" t="n"/>
      <c r="N177" s="55" t="n"/>
      <c r="O177" s="25" t="n"/>
      <c r="P177" s="55" t="n"/>
      <c r="Q177" s="25" t="n"/>
      <c r="R177" s="25" t="n"/>
    </row>
    <row r="178">
      <c r="A178" s="4">
        <f>IF(F178="","","OBS-"&amp;TEXT(ROW()-4,"000"))</f>
        <v/>
      </c>
      <c r="B178" s="4" t="n"/>
      <c r="C178" s="4" t="n"/>
      <c r="D178" s="4" t="n"/>
      <c r="E178" s="4" t="n"/>
      <c r="F178" s="4" t="n"/>
      <c r="G178" s="4" t="n"/>
      <c r="H178" s="4" t="n"/>
      <c r="I178" s="4" t="n"/>
      <c r="J178" s="4" t="n"/>
      <c r="K178" s="40" t="n"/>
      <c r="L178" s="4" t="n"/>
      <c r="M178" s="25" t="n"/>
      <c r="N178" s="55" t="n"/>
      <c r="O178" s="25" t="n"/>
      <c r="P178" s="55" t="n"/>
      <c r="Q178" s="25" t="n"/>
      <c r="R178" s="25" t="n"/>
    </row>
    <row r="179">
      <c r="A179" s="4">
        <f>IF(F179="","","OBS-"&amp;TEXT(ROW()-4,"000"))</f>
        <v/>
      </c>
      <c r="B179" s="4" t="n"/>
      <c r="C179" s="4" t="n"/>
      <c r="D179" s="4" t="n"/>
      <c r="E179" s="4" t="n"/>
      <c r="F179" s="4" t="n"/>
      <c r="G179" s="4" t="n"/>
      <c r="H179" s="4" t="n"/>
      <c r="I179" s="4" t="n"/>
      <c r="J179" s="4" t="n"/>
      <c r="K179" s="40" t="n"/>
      <c r="L179" s="4" t="n"/>
      <c r="M179" s="25" t="n"/>
      <c r="N179" s="55" t="n"/>
      <c r="O179" s="25" t="n"/>
      <c r="P179" s="55" t="n"/>
      <c r="Q179" s="25" t="n"/>
      <c r="R179" s="25" t="n"/>
    </row>
    <row r="180">
      <c r="A180" s="4">
        <f>IF(F180="","","OBS-"&amp;TEXT(ROW()-4,"000"))</f>
        <v/>
      </c>
      <c r="B180" s="4" t="n"/>
      <c r="C180" s="4" t="n"/>
      <c r="D180" s="4" t="n"/>
      <c r="E180" s="4" t="n"/>
      <c r="F180" s="4" t="n"/>
      <c r="G180" s="4" t="n"/>
      <c r="H180" s="4" t="n"/>
      <c r="I180" s="4" t="n"/>
      <c r="J180" s="4" t="n"/>
      <c r="K180" s="40" t="n"/>
      <c r="L180" s="4" t="n"/>
      <c r="M180" s="25" t="n"/>
      <c r="N180" s="55" t="n"/>
      <c r="O180" s="25" t="n"/>
      <c r="P180" s="55" t="n"/>
      <c r="Q180" s="25" t="n"/>
      <c r="R180" s="25" t="n"/>
    </row>
    <row r="181">
      <c r="A181" s="4">
        <f>IF(F181="","","OBS-"&amp;TEXT(ROW()-4,"000"))</f>
        <v/>
      </c>
      <c r="B181" s="4" t="n"/>
      <c r="C181" s="4" t="n"/>
      <c r="D181" s="4" t="n"/>
      <c r="E181" s="4" t="n"/>
      <c r="F181" s="4" t="n"/>
      <c r="G181" s="4" t="n"/>
      <c r="H181" s="4" t="n"/>
      <c r="I181" s="4" t="n"/>
      <c r="J181" s="4" t="n"/>
      <c r="K181" s="40" t="n"/>
      <c r="L181" s="4" t="n"/>
      <c r="M181" s="25" t="n"/>
      <c r="N181" s="55" t="n"/>
      <c r="O181" s="25" t="n"/>
      <c r="P181" s="55" t="n"/>
      <c r="Q181" s="25" t="n"/>
      <c r="R181" s="25" t="n"/>
    </row>
    <row r="182">
      <c r="A182" s="4">
        <f>IF(F182="","","OBS-"&amp;TEXT(ROW()-4,"000"))</f>
        <v/>
      </c>
      <c r="B182" s="4" t="n"/>
      <c r="C182" s="4" t="n"/>
      <c r="D182" s="4" t="n"/>
      <c r="E182" s="4" t="n"/>
      <c r="F182" s="4" t="n"/>
      <c r="G182" s="4" t="n"/>
      <c r="H182" s="4" t="n"/>
      <c r="I182" s="4" t="n"/>
      <c r="J182" s="4" t="n"/>
      <c r="K182" s="40" t="n"/>
      <c r="L182" s="4" t="n"/>
      <c r="M182" s="25" t="n"/>
      <c r="N182" s="55" t="n"/>
      <c r="O182" s="25" t="n"/>
      <c r="P182" s="55" t="n"/>
      <c r="Q182" s="25" t="n"/>
      <c r="R182" s="25" t="n"/>
    </row>
    <row r="183">
      <c r="A183" s="4">
        <f>IF(F183="","","OBS-"&amp;TEXT(ROW()-4,"000"))</f>
        <v/>
      </c>
      <c r="B183" s="4" t="n"/>
      <c r="C183" s="4" t="n"/>
      <c r="D183" s="4" t="n"/>
      <c r="E183" s="4" t="n"/>
      <c r="F183" s="4" t="n"/>
      <c r="G183" s="4" t="n"/>
      <c r="H183" s="4" t="n"/>
      <c r="I183" s="4" t="n"/>
      <c r="J183" s="4" t="n"/>
      <c r="K183" s="40" t="n"/>
      <c r="L183" s="4" t="n"/>
      <c r="M183" s="25" t="n"/>
      <c r="N183" s="55" t="n"/>
      <c r="O183" s="25" t="n"/>
      <c r="P183" s="55" t="n"/>
      <c r="Q183" s="25" t="n"/>
      <c r="R183" s="25" t="n"/>
    </row>
    <row r="184">
      <c r="A184" s="4">
        <f>IF(F184="","","OBS-"&amp;TEXT(ROW()-4,"000"))</f>
        <v/>
      </c>
      <c r="B184" s="4" t="n"/>
      <c r="C184" s="4" t="n"/>
      <c r="D184" s="4" t="n"/>
      <c r="E184" s="4" t="n"/>
      <c r="F184" s="4" t="n"/>
      <c r="G184" s="4" t="n"/>
      <c r="H184" s="4" t="n"/>
      <c r="I184" s="4" t="n"/>
      <c r="J184" s="4" t="n"/>
      <c r="K184" s="40" t="n"/>
      <c r="L184" s="4" t="n"/>
      <c r="M184" s="25" t="n"/>
      <c r="N184" s="55" t="n"/>
      <c r="O184" s="25" t="n"/>
      <c r="P184" s="55" t="n"/>
      <c r="Q184" s="25" t="n"/>
      <c r="R184" s="25" t="n"/>
    </row>
    <row r="185">
      <c r="A185" s="4">
        <f>IF(F185="","","OBS-"&amp;TEXT(ROW()-4,"000"))</f>
        <v/>
      </c>
      <c r="B185" s="4" t="n"/>
      <c r="C185" s="4" t="n"/>
      <c r="D185" s="4" t="n"/>
      <c r="E185" s="4" t="n"/>
      <c r="F185" s="4" t="n"/>
      <c r="G185" s="4" t="n"/>
      <c r="H185" s="4" t="n"/>
      <c r="I185" s="4" t="n"/>
      <c r="J185" s="4" t="n"/>
      <c r="K185" s="40" t="n"/>
      <c r="L185" s="4" t="n"/>
      <c r="M185" s="25" t="n"/>
      <c r="N185" s="55" t="n"/>
      <c r="O185" s="25" t="n"/>
      <c r="P185" s="55" t="n"/>
      <c r="Q185" s="25" t="n"/>
      <c r="R185" s="25" t="n"/>
    </row>
    <row r="186">
      <c r="A186" s="4">
        <f>IF(F186="","","OBS-"&amp;TEXT(ROW()-4,"000"))</f>
        <v/>
      </c>
      <c r="B186" s="4" t="n"/>
      <c r="C186" s="4" t="n"/>
      <c r="D186" s="4" t="n"/>
      <c r="E186" s="4" t="n"/>
      <c r="F186" s="4" t="n"/>
      <c r="G186" s="4" t="n"/>
      <c r="H186" s="4" t="n"/>
      <c r="I186" s="4" t="n"/>
      <c r="J186" s="4" t="n"/>
      <c r="K186" s="40" t="n"/>
      <c r="L186" s="4" t="n"/>
      <c r="M186" s="25" t="n"/>
      <c r="N186" s="55" t="n"/>
      <c r="O186" s="25" t="n"/>
      <c r="P186" s="55" t="n"/>
      <c r="Q186" s="25" t="n"/>
      <c r="R186" s="25" t="n"/>
    </row>
    <row r="187">
      <c r="A187" s="4">
        <f>IF(F187="","","OBS-"&amp;TEXT(ROW()-4,"000"))</f>
        <v/>
      </c>
      <c r="B187" s="4" t="n"/>
      <c r="C187" s="4" t="n"/>
      <c r="D187" s="4" t="n"/>
      <c r="E187" s="4" t="n"/>
      <c r="F187" s="4" t="n"/>
      <c r="G187" s="4" t="n"/>
      <c r="H187" s="4" t="n"/>
      <c r="I187" s="4" t="n"/>
      <c r="J187" s="4" t="n"/>
      <c r="K187" s="40" t="n"/>
      <c r="L187" s="4" t="n"/>
      <c r="M187" s="25" t="n"/>
      <c r="N187" s="55" t="n"/>
      <c r="O187" s="25" t="n"/>
      <c r="P187" s="55" t="n"/>
      <c r="Q187" s="25" t="n"/>
      <c r="R187" s="25" t="n"/>
    </row>
    <row r="188">
      <c r="A188" s="4">
        <f>IF(F188="","","OBS-"&amp;TEXT(ROW()-4,"000"))</f>
        <v/>
      </c>
      <c r="B188" s="4" t="n"/>
      <c r="C188" s="4" t="n"/>
      <c r="D188" s="4" t="n"/>
      <c r="E188" s="4" t="n"/>
      <c r="F188" s="4" t="n"/>
      <c r="G188" s="4" t="n"/>
      <c r="H188" s="4" t="n"/>
      <c r="I188" s="4" t="n"/>
      <c r="J188" s="4" t="n"/>
      <c r="K188" s="40" t="n"/>
      <c r="L188" s="4" t="n"/>
      <c r="M188" s="25" t="n"/>
      <c r="N188" s="55" t="n"/>
      <c r="O188" s="25" t="n"/>
      <c r="P188" s="55" t="n"/>
      <c r="Q188" s="25" t="n"/>
      <c r="R188" s="25" t="n"/>
    </row>
    <row r="189">
      <c r="A189" s="4">
        <f>IF(F189="","","OBS-"&amp;TEXT(ROW()-4,"000"))</f>
        <v/>
      </c>
      <c r="B189" s="4" t="n"/>
      <c r="C189" s="4" t="n"/>
      <c r="D189" s="4" t="n"/>
      <c r="E189" s="4" t="n"/>
      <c r="F189" s="4" t="n"/>
      <c r="G189" s="4" t="n"/>
      <c r="H189" s="4" t="n"/>
      <c r="I189" s="4" t="n"/>
      <c r="J189" s="4" t="n"/>
      <c r="K189" s="40" t="n"/>
      <c r="L189" s="4" t="n"/>
      <c r="M189" s="25" t="n"/>
      <c r="N189" s="55" t="n"/>
      <c r="O189" s="25" t="n"/>
      <c r="P189" s="55" t="n"/>
      <c r="Q189" s="25" t="n"/>
      <c r="R189" s="25" t="n"/>
    </row>
    <row r="190">
      <c r="A190" s="4">
        <f>IF(F190="","","OBS-"&amp;TEXT(ROW()-4,"000"))</f>
        <v/>
      </c>
      <c r="B190" s="4" t="n"/>
      <c r="C190" s="4" t="n"/>
      <c r="D190" s="4" t="n"/>
      <c r="E190" s="4" t="n"/>
      <c r="F190" s="4" t="n"/>
      <c r="G190" s="4" t="n"/>
      <c r="H190" s="4" t="n"/>
      <c r="I190" s="4" t="n"/>
      <c r="J190" s="4" t="n"/>
      <c r="K190" s="40" t="n"/>
      <c r="L190" s="4" t="n"/>
      <c r="M190" s="25" t="n"/>
      <c r="N190" s="55" t="n"/>
      <c r="O190" s="25" t="n"/>
      <c r="P190" s="55" t="n"/>
      <c r="Q190" s="25" t="n"/>
      <c r="R190" s="25" t="n"/>
    </row>
    <row r="191">
      <c r="A191" s="4">
        <f>IF(F191="","","OBS-"&amp;TEXT(ROW()-4,"000"))</f>
        <v/>
      </c>
      <c r="B191" s="4" t="n"/>
      <c r="C191" s="4" t="n"/>
      <c r="D191" s="4" t="n"/>
      <c r="E191" s="4" t="n"/>
      <c r="F191" s="4" t="n"/>
      <c r="G191" s="4" t="n"/>
      <c r="H191" s="4" t="n"/>
      <c r="I191" s="4" t="n"/>
      <c r="J191" s="4" t="n"/>
      <c r="K191" s="40" t="n"/>
      <c r="L191" s="4" t="n"/>
      <c r="M191" s="25" t="n"/>
      <c r="N191" s="55" t="n"/>
      <c r="O191" s="25" t="n"/>
      <c r="P191" s="55" t="n"/>
      <c r="Q191" s="25" t="n"/>
      <c r="R191" s="25" t="n"/>
    </row>
    <row r="192">
      <c r="A192" s="4">
        <f>IF(F192="","","OBS-"&amp;TEXT(ROW()-4,"000"))</f>
        <v/>
      </c>
      <c r="B192" s="4" t="n"/>
      <c r="C192" s="4" t="n"/>
      <c r="D192" s="4" t="n"/>
      <c r="E192" s="4" t="n"/>
      <c r="F192" s="4" t="n"/>
      <c r="G192" s="4" t="n"/>
      <c r="H192" s="4" t="n"/>
      <c r="I192" s="4" t="n"/>
      <c r="J192" s="4" t="n"/>
      <c r="K192" s="40" t="n"/>
      <c r="L192" s="4" t="n"/>
      <c r="M192" s="25" t="n"/>
      <c r="N192" s="55" t="n"/>
      <c r="O192" s="25" t="n"/>
      <c r="P192" s="55" t="n"/>
      <c r="Q192" s="25" t="n"/>
      <c r="R192" s="25" t="n"/>
    </row>
    <row r="193">
      <c r="A193" s="4">
        <f>IF(F193="","","OBS-"&amp;TEXT(ROW()-4,"000"))</f>
        <v/>
      </c>
      <c r="B193" s="4" t="n"/>
      <c r="C193" s="4" t="n"/>
      <c r="D193" s="4" t="n"/>
      <c r="E193" s="4" t="n"/>
      <c r="F193" s="4" t="n"/>
      <c r="G193" s="4" t="n"/>
      <c r="H193" s="4" t="n"/>
      <c r="I193" s="4" t="n"/>
      <c r="J193" s="4" t="n"/>
      <c r="K193" s="40" t="n"/>
      <c r="L193" s="4" t="n"/>
      <c r="M193" s="25" t="n"/>
      <c r="N193" s="55" t="n"/>
      <c r="O193" s="25" t="n"/>
      <c r="P193" s="55" t="n"/>
      <c r="Q193" s="25" t="n"/>
      <c r="R193" s="25" t="n"/>
    </row>
    <row r="194">
      <c r="A194" s="4">
        <f>IF(F194="","","OBS-"&amp;TEXT(ROW()-4,"000"))</f>
        <v/>
      </c>
      <c r="B194" s="4" t="n"/>
      <c r="C194" s="4" t="n"/>
      <c r="D194" s="4" t="n"/>
      <c r="E194" s="4" t="n"/>
      <c r="F194" s="4" t="n"/>
      <c r="G194" s="4" t="n"/>
      <c r="H194" s="4" t="n"/>
      <c r="I194" s="4" t="n"/>
      <c r="J194" s="4" t="n"/>
      <c r="K194" s="40" t="n"/>
      <c r="L194" s="4" t="n"/>
      <c r="M194" s="25" t="n"/>
      <c r="N194" s="55" t="n"/>
      <c r="O194" s="25" t="n"/>
      <c r="P194" s="55" t="n"/>
      <c r="Q194" s="25" t="n"/>
      <c r="R194" s="25" t="n"/>
    </row>
    <row r="195">
      <c r="A195" s="4">
        <f>IF(F195="","","OBS-"&amp;TEXT(ROW()-4,"000"))</f>
        <v/>
      </c>
      <c r="B195" s="4" t="n"/>
      <c r="C195" s="4" t="n"/>
      <c r="D195" s="4" t="n"/>
      <c r="E195" s="4" t="n"/>
      <c r="F195" s="4" t="n"/>
      <c r="G195" s="4" t="n"/>
      <c r="H195" s="4" t="n"/>
      <c r="I195" s="4" t="n"/>
      <c r="J195" s="4" t="n"/>
      <c r="K195" s="40" t="n"/>
      <c r="L195" s="4" t="n"/>
      <c r="M195" s="25" t="n"/>
      <c r="N195" s="55" t="n"/>
      <c r="O195" s="25" t="n"/>
      <c r="P195" s="55" t="n"/>
      <c r="Q195" s="25" t="n"/>
      <c r="R195" s="25" t="n"/>
    </row>
    <row r="196">
      <c r="A196" s="4">
        <f>IF(F196="","","OBS-"&amp;TEXT(ROW()-4,"000"))</f>
        <v/>
      </c>
      <c r="B196" s="4" t="n"/>
      <c r="C196" s="4" t="n"/>
      <c r="D196" s="4" t="n"/>
      <c r="E196" s="4" t="n"/>
      <c r="F196" s="4" t="n"/>
      <c r="G196" s="4" t="n"/>
      <c r="H196" s="4" t="n"/>
      <c r="I196" s="4" t="n"/>
      <c r="J196" s="4" t="n"/>
      <c r="K196" s="40" t="n"/>
      <c r="L196" s="4" t="n"/>
      <c r="M196" s="25" t="n"/>
      <c r="N196" s="55" t="n"/>
      <c r="O196" s="25" t="n"/>
      <c r="P196" s="55" t="n"/>
      <c r="Q196" s="25" t="n"/>
      <c r="R196" s="25" t="n"/>
    </row>
    <row r="197">
      <c r="A197" s="4">
        <f>IF(F197="","","OBS-"&amp;TEXT(ROW()-4,"000"))</f>
        <v/>
      </c>
      <c r="B197" s="4" t="n"/>
      <c r="C197" s="4" t="n"/>
      <c r="D197" s="4" t="n"/>
      <c r="E197" s="4" t="n"/>
      <c r="F197" s="4" t="n"/>
      <c r="G197" s="4" t="n"/>
      <c r="H197" s="4" t="n"/>
      <c r="I197" s="4" t="n"/>
      <c r="J197" s="4" t="n"/>
      <c r="K197" s="40" t="n"/>
      <c r="L197" s="4" t="n"/>
      <c r="M197" s="25" t="n"/>
      <c r="N197" s="55" t="n"/>
      <c r="O197" s="25" t="n"/>
      <c r="P197" s="55" t="n"/>
      <c r="Q197" s="25" t="n"/>
      <c r="R197" s="25" t="n"/>
    </row>
    <row r="198">
      <c r="A198" s="4">
        <f>IF(F198="","","OBS-"&amp;TEXT(ROW()-4,"000"))</f>
        <v/>
      </c>
      <c r="B198" s="4" t="n"/>
      <c r="C198" s="4" t="n"/>
      <c r="D198" s="4" t="n"/>
      <c r="E198" s="4" t="n"/>
      <c r="F198" s="4" t="n"/>
      <c r="G198" s="4" t="n"/>
      <c r="H198" s="4" t="n"/>
      <c r="I198" s="4" t="n"/>
      <c r="J198" s="4" t="n"/>
      <c r="K198" s="40" t="n"/>
      <c r="L198" s="4" t="n"/>
      <c r="M198" s="25" t="n"/>
      <c r="N198" s="55" t="n"/>
      <c r="O198" s="25" t="n"/>
      <c r="P198" s="55" t="n"/>
      <c r="Q198" s="25" t="n"/>
      <c r="R198" s="25" t="n"/>
    </row>
    <row r="199">
      <c r="A199" s="4">
        <f>IF(F199="","","OBS-"&amp;TEXT(ROW()-4,"000"))</f>
        <v/>
      </c>
      <c r="B199" s="4" t="n"/>
      <c r="C199" s="4" t="n"/>
      <c r="D199" s="4" t="n"/>
      <c r="E199" s="4" t="n"/>
      <c r="F199" s="4" t="n"/>
      <c r="G199" s="4" t="n"/>
      <c r="H199" s="4" t="n"/>
      <c r="I199" s="4" t="n"/>
      <c r="J199" s="4" t="n"/>
      <c r="K199" s="40" t="n"/>
      <c r="L199" s="4" t="n"/>
      <c r="M199" s="25" t="n"/>
      <c r="N199" s="55" t="n"/>
      <c r="O199" s="25" t="n"/>
      <c r="P199" s="55" t="n"/>
      <c r="Q199" s="25" t="n"/>
      <c r="R199" s="25" t="n"/>
    </row>
    <row r="200">
      <c r="A200" s="4">
        <f>IF(F200="","","OBS-"&amp;TEXT(ROW()-4,"000"))</f>
        <v/>
      </c>
      <c r="B200" s="4" t="n"/>
      <c r="C200" s="4" t="n"/>
      <c r="D200" s="4" t="n"/>
      <c r="E200" s="4" t="n"/>
      <c r="F200" s="4" t="n"/>
      <c r="G200" s="4" t="n"/>
      <c r="H200" s="4" t="n"/>
      <c r="I200" s="4" t="n"/>
      <c r="J200" s="4" t="n"/>
      <c r="K200" s="40" t="n"/>
      <c r="L200" s="4" t="n"/>
      <c r="M200" s="25" t="n"/>
      <c r="N200" s="55" t="n"/>
      <c r="O200" s="25" t="n"/>
      <c r="P200" s="55" t="n"/>
      <c r="Q200" s="25" t="n"/>
      <c r="R200" s="25" t="n"/>
    </row>
    <row r="201">
      <c r="A201" s="4">
        <f>IF(F201="","","OBS-"&amp;TEXT(ROW()-4,"000"))</f>
        <v/>
      </c>
      <c r="B201" s="4" t="n"/>
      <c r="C201" s="4" t="n"/>
      <c r="D201" s="4" t="n"/>
      <c r="E201" s="4" t="n"/>
      <c r="F201" s="4" t="n"/>
      <c r="G201" s="4" t="n"/>
      <c r="H201" s="4" t="n"/>
      <c r="I201" s="4" t="n"/>
      <c r="J201" s="4" t="n"/>
      <c r="K201" s="40" t="n"/>
      <c r="L201" s="4" t="n"/>
      <c r="M201" s="25" t="n"/>
      <c r="N201" s="55" t="n"/>
      <c r="O201" s="25" t="n"/>
      <c r="P201" s="55" t="n"/>
      <c r="Q201" s="25" t="n"/>
      <c r="R201" s="25" t="n"/>
    </row>
    <row r="202">
      <c r="A202" s="4">
        <f>IF(F202="","","OBS-"&amp;TEXT(ROW()-4,"000"))</f>
        <v/>
      </c>
      <c r="B202" s="4" t="n"/>
      <c r="C202" s="4" t="n"/>
      <c r="D202" s="4" t="n"/>
      <c r="E202" s="4" t="n"/>
      <c r="F202" s="4" t="n"/>
      <c r="G202" s="4" t="n"/>
      <c r="H202" s="4" t="n"/>
      <c r="I202" s="4" t="n"/>
      <c r="J202" s="4" t="n"/>
      <c r="K202" s="40" t="n"/>
      <c r="L202" s="4" t="n"/>
      <c r="M202" s="25" t="n"/>
      <c r="N202" s="55" t="n"/>
      <c r="O202" s="25" t="n"/>
      <c r="P202" s="55" t="n"/>
      <c r="Q202" s="25" t="n"/>
      <c r="R202" s="25" t="n"/>
    </row>
    <row r="203">
      <c r="A203" s="4">
        <f>IF(F203="","","OBS-"&amp;TEXT(ROW()-4,"000"))</f>
        <v/>
      </c>
      <c r="B203" s="4" t="n"/>
      <c r="C203" s="4" t="n"/>
      <c r="D203" s="4" t="n"/>
      <c r="E203" s="4" t="n"/>
      <c r="F203" s="4" t="n"/>
      <c r="G203" s="4" t="n"/>
      <c r="H203" s="4" t="n"/>
      <c r="I203" s="4" t="n"/>
      <c r="J203" s="4" t="n"/>
      <c r="K203" s="40" t="n"/>
      <c r="L203" s="4" t="n"/>
      <c r="M203" s="25" t="n"/>
      <c r="N203" s="55" t="n"/>
      <c r="O203" s="25" t="n"/>
      <c r="P203" s="55" t="n"/>
      <c r="Q203" s="25" t="n"/>
      <c r="R203" s="25" t="n"/>
    </row>
    <row r="204">
      <c r="A204" s="4">
        <f>IF(F204="","","OBS-"&amp;TEXT(ROW()-4,"000"))</f>
        <v/>
      </c>
      <c r="B204" s="4" t="n"/>
      <c r="C204" s="4" t="n"/>
      <c r="D204" s="4" t="n"/>
      <c r="E204" s="4" t="n"/>
      <c r="F204" s="4" t="n"/>
      <c r="G204" s="4" t="n"/>
      <c r="H204" s="4" t="n"/>
      <c r="I204" s="4" t="n"/>
      <c r="J204" s="4" t="n"/>
      <c r="K204" s="40" t="n"/>
      <c r="L204" s="4" t="n"/>
      <c r="M204" s="25" t="n"/>
      <c r="N204" s="55" t="n"/>
      <c r="O204" s="25" t="n"/>
      <c r="P204" s="55" t="n"/>
      <c r="Q204" s="25" t="n"/>
      <c r="R204" s="25" t="n"/>
    </row>
  </sheetData>
  <autoFilter ref="A4:R204"/>
  <dataValidations count="4">
    <dataValidation sqref="E5:E204" showDropDown="0" showInputMessage="0" showErrorMessage="0" allowBlank="1" type="list">
      <formula1>=Listas!$A$2:$A$6</formula1>
    </dataValidation>
    <dataValidation sqref="J5:J204" showDropDown="0" showInputMessage="0" showErrorMessage="0" allowBlank="1" type="list">
      <formula1>=Listas!$B$2:$B$4</formula1>
    </dataValidation>
    <dataValidation sqref="O5:O204" showDropDown="0" showInputMessage="0" showErrorMessage="0" allowBlank="1" type="list">
      <formula1>=Listas!$C$2:$C$6</formula1>
    </dataValidation>
    <dataValidation sqref="B5:B204" showDropDown="0" showInputMessage="0" showErrorMessage="0" allowBlank="1" type="list">
      <formula1>=Listas!$D$2:$D$10</formula1>
    </dataValidation>
  </dataValidations>
  <pageMargins left="0.75" right="0.75" top="1" bottom="1" header="0.5" footer="0.5"/>
  <pageSetup orientation="landscape"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E18"/>
  <sheetViews>
    <sheetView showGridLines="0" workbookViewId="0">
      <selection activeCell="B18" sqref="B18"/>
    </sheetView>
  </sheetViews>
  <sheetFormatPr baseColWidth="10" defaultColWidth="8.83203125" defaultRowHeight="15"/>
  <cols>
    <col width="5" customWidth="1" min="1" max="1"/>
    <col width="52" customWidth="1" min="2" max="2"/>
    <col width="60" customWidth="1" min="3" max="3"/>
    <col width="16" customWidth="1" min="4" max="4"/>
    <col width="60" customWidth="1" min="5" max="5"/>
  </cols>
  <sheetData>
    <row r="1" ht="22" customHeight="1">
      <c r="D1" s="1" t="inlineStr">
        <is>
          <t>Documentos revisados y documentos pendientes</t>
        </is>
      </c>
    </row>
    <row r="2" ht="22" customHeight="1">
      <c r="D2" s="2" t="inlineStr">
        <is>
          <t>Control de entregas del contratista.</t>
        </is>
      </c>
    </row>
    <row r="4" ht="32" customHeight="1">
      <c r="A4" s="7" t="inlineStr">
        <is>
          <t>#</t>
        </is>
      </c>
      <c r="B4" s="7" t="inlineStr">
        <is>
          <t>Documento</t>
        </is>
      </c>
      <c r="C4" s="7" t="inlineStr">
        <is>
          <t>Archivo / origen</t>
        </is>
      </c>
      <c r="D4" s="7" t="inlineStr">
        <is>
          <t>Estado</t>
        </is>
      </c>
      <c r="E4" s="7" t="inlineStr">
        <is>
          <t>Observación</t>
        </is>
      </c>
    </row>
    <row r="5" ht="28" customHeight="1">
      <c r="A5" s="4" t="n">
        <v>1</v>
      </c>
      <c r="B5" s="4" t="inlineStr">
        <is>
          <t>Acta de mayores y menores cantidades e ítems nuevos – hoja 1 (corte 15-10-26)</t>
        </is>
      </c>
      <c r="C5" s="4" t="inlineStr">
        <is>
          <t>ACT ELECTRICO 15-10-26.xlsx</t>
        </is>
      </c>
      <c r="D5" s="4" t="inlineStr">
        <is>
          <t>Revisado</t>
        </is>
      </c>
      <c r="E5" s="4" t="inlineStr">
        <is>
          <t>Cap. 4 e IN14.</t>
        </is>
      </c>
    </row>
    <row r="6">
      <c r="A6" s="4" t="n">
        <v>2</v>
      </c>
      <c r="B6" s="4" t="inlineStr">
        <is>
          <t>Plano 01 – Iluminación Cancha de Fútbol 9 (V2)</t>
        </is>
      </c>
      <c r="C6" s="4" t="inlineStr">
        <is>
          <t>26HO068 … FUTBOL 9 – PLANO 01.pdf</t>
        </is>
      </c>
      <c r="D6" s="4" t="inlineStr">
        <is>
          <t>Revisado</t>
        </is>
      </c>
      <c r="E6" s="4" t="inlineStr">
        <is>
          <t>Sin firma del diseñador.</t>
        </is>
      </c>
    </row>
    <row r="7">
      <c r="A7" s="4" t="n">
        <v>3</v>
      </c>
      <c r="B7" s="4" t="inlineStr">
        <is>
          <t>Plano 02 – Iluminación Cancha Múltiple (V2)</t>
        </is>
      </c>
      <c r="C7" s="4" t="inlineStr">
        <is>
          <t>26HO068 … MULTIPLE – PLANO 02.pdf</t>
        </is>
      </c>
      <c r="D7" s="4" t="inlineStr">
        <is>
          <t>Revisado</t>
        </is>
      </c>
      <c r="E7" s="4" t="inlineStr">
        <is>
          <t>Recibido dos veces (idéntico).</t>
        </is>
      </c>
    </row>
    <row r="8">
      <c r="A8" s="4" t="n">
        <v>4</v>
      </c>
      <c r="B8" s="4" t="inlineStr">
        <is>
          <t>Informe DIALux – Cancha Múltiple (V2)</t>
        </is>
      </c>
      <c r="C8" s="4" t="inlineStr">
        <is>
          <t>26HO068 … MULTIPLE – V2 Informe.pdf</t>
        </is>
      </c>
      <c r="D8" s="4" t="inlineStr">
        <is>
          <t>Revisado</t>
        </is>
      </c>
      <c r="E8" s="4" t="inlineStr">
        <is>
          <t>Fotometría definida por el usuario.</t>
        </is>
      </c>
    </row>
    <row r="9">
      <c r="A9" s="4" t="n">
        <v>5</v>
      </c>
      <c r="B9" s="4" t="inlineStr">
        <is>
          <t>DXF de redes eléctricas (Dibujo1)</t>
        </is>
      </c>
      <c r="C9" s="4" t="inlineStr">
        <is>
          <t>Dibujo1.dxf</t>
        </is>
      </c>
      <c r="D9" s="4" t="inlineStr">
        <is>
          <t>Revisado</t>
        </is>
      </c>
      <c r="E9" s="4" t="inlineStr">
        <is>
          <t>Metrajes por polilíneas, incompletos (BT-05).</t>
        </is>
      </c>
    </row>
    <row r="10">
      <c r="A10" s="4" t="n">
        <v>6</v>
      </c>
      <c r="B10" s="4" t="inlineStr">
        <is>
          <t>Cuadros de carga y cálculos eléctricos (regulación y ductería)</t>
        </is>
      </c>
      <c r="C10" s="4" t="inlineStr">
        <is>
          <t>Cuadros de Carga y Calculos Electricos.xlsx</t>
        </is>
      </c>
      <c r="D10" s="4" t="inlineStr">
        <is>
          <t>Revisado</t>
        </is>
      </c>
      <c r="E10" s="4" t="inlineStr">
        <is>
          <t>Errores de fórmula (γ y secciones).</t>
        </is>
      </c>
    </row>
    <row r="11">
      <c r="A11" s="4" t="n">
        <v>7</v>
      </c>
      <c r="B11" s="4" t="inlineStr">
        <is>
          <t>Diagrama unifilar</t>
        </is>
      </c>
      <c r="C11" s="4" t="inlineStr">
        <is>
          <t>Doc1.docx (imágenes)</t>
        </is>
      </c>
      <c r="D11" s="4" t="inlineStr">
        <is>
          <t>Revisado</t>
        </is>
      </c>
      <c r="E11" s="4" t="inlineStr">
        <is>
          <t>Rótulos de carga borrosos; falta fuente editable.</t>
        </is>
      </c>
    </row>
    <row r="12">
      <c r="A12" s="4" t="n">
        <v>8</v>
      </c>
      <c r="B12" s="4" t="inlineStr">
        <is>
          <t>Informe DIALux – Cancha de Fútbol 9</t>
        </is>
      </c>
      <c r="C12" s="4" t="inlineStr">
        <is>
          <t>—</t>
        </is>
      </c>
      <c r="D12" s="4" t="inlineStr">
        <is>
          <t>Pendiente</t>
        </is>
      </c>
      <c r="E12" s="4" t="inlineStr">
        <is>
          <t>Solicitar.</t>
        </is>
      </c>
    </row>
    <row r="13">
      <c r="A13" s="4" t="n">
        <v>9</v>
      </c>
      <c r="B13" s="4" t="inlineStr">
        <is>
          <t>Plano e informe de iluminación – Cancha de Fútbol 6</t>
        </is>
      </c>
      <c r="C13" s="4" t="inlineStr">
        <is>
          <t>—</t>
        </is>
      </c>
      <c r="D13" s="4" t="inlineStr">
        <is>
          <t>Pendiente</t>
        </is>
      </c>
      <c r="E13" s="4" t="inlineStr">
        <is>
          <t>Solicitar o aclarar alcance.</t>
        </is>
      </c>
    </row>
    <row r="14">
      <c r="A14" s="4" t="n">
        <v>10</v>
      </c>
      <c r="B14" s="4" t="inlineStr">
        <is>
          <t>Archivos fotométricos LDT/IES y certificados de producto</t>
        </is>
      </c>
      <c r="C14" s="4" t="inlineStr">
        <is>
          <t>—</t>
        </is>
      </c>
      <c r="D14" s="4" t="inlineStr">
        <is>
          <t>Pendiente</t>
        </is>
      </c>
      <c r="E14" s="4" t="inlineStr">
        <is>
          <t>Solicitar.</t>
        </is>
      </c>
    </row>
    <row r="15">
      <c r="A15" s="4" t="n">
        <v>11</v>
      </c>
      <c r="B15" s="4" t="inlineStr">
        <is>
          <t>Unifilares y cuadros de carga de TB-CM-ADM, TB-GT y TBGCI</t>
        </is>
      </c>
      <c r="C15" s="4" t="inlineStr">
        <is>
          <t>—</t>
        </is>
      </c>
      <c r="D15" s="4" t="inlineStr">
        <is>
          <t>Pendiente</t>
        </is>
      </c>
      <c r="E15" s="4" t="inlineStr">
        <is>
          <t>Solicitar.</t>
        </is>
      </c>
    </row>
    <row r="16">
      <c r="A16" s="4" t="n">
        <v>12</v>
      </c>
      <c r="B16" s="4" t="inlineStr">
        <is>
          <t>Factibilidad / punto de conexión del operador de red</t>
        </is>
      </c>
      <c r="C16" s="4" t="inlineStr">
        <is>
          <t>—</t>
        </is>
      </c>
      <c r="D16" s="4" t="inlineStr">
        <is>
          <t>Pendiente</t>
        </is>
      </c>
      <c r="E16" s="4" t="inlineStr">
        <is>
          <t>Unifilar indica PENDIENTE.</t>
        </is>
      </c>
    </row>
    <row r="17">
      <c r="A17" s="4" t="n">
        <v>13</v>
      </c>
      <c r="B17" s="4" t="inlineStr">
        <is>
          <t>APU del ítem 4.22 y de los ítems nuevos IN14</t>
        </is>
      </c>
      <c r="C17" s="4" t="inlineStr">
        <is>
          <t>—</t>
        </is>
      </c>
      <c r="D17" s="4" t="inlineStr">
        <is>
          <t>Pendiente</t>
        </is>
      </c>
      <c r="E17" s="4" t="inlineStr">
        <is>
          <t>Descartar duplicidades.</t>
        </is>
      </c>
    </row>
    <row r="18">
      <c r="A18" s="4" t="n">
        <v>14</v>
      </c>
      <c r="B18" s="4" t="inlineStr">
        <is>
          <t>Diseño y justificación de luminarias y postes solares</t>
        </is>
      </c>
      <c r="C18" s="4" t="inlineStr">
        <is>
          <t>—</t>
        </is>
      </c>
      <c r="D18" s="4" t="inlineStr">
        <is>
          <t>Pendiente</t>
        </is>
      </c>
      <c r="E18" s="4" t="inlineStr">
        <is>
          <t>Sin respaldo en planos.</t>
        </is>
      </c>
    </row>
  </sheetData>
  <conditionalFormatting sqref="D5:D18">
    <cfRule type="cellIs" priority="1" operator="equal" dxfId="0">
      <formula>"Pendiente"</formula>
    </cfRule>
  </conditionalFormatting>
  <pageMargins left="0.75" right="0.75" top="1" bottom="1" header="0.5" footer="0.5"/>
  <pageSetup orientation="landscape"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F10"/>
  <sheetViews>
    <sheetView workbookViewId="0">
      <selection activeCell="A1" sqref="A1"/>
    </sheetView>
  </sheetViews>
  <sheetFormatPr baseColWidth="10" defaultColWidth="8.83203125" defaultRowHeight="15"/>
  <cols>
    <col width="28" customWidth="1" min="1" max="6"/>
  </cols>
  <sheetData>
    <row r="1">
      <c r="A1" s="10" t="inlineStr">
        <is>
          <t>Tipo</t>
        </is>
      </c>
      <c r="B1" s="10" t="inlineStr">
        <is>
          <t>Criticidad</t>
        </is>
      </c>
      <c r="C1" s="10" t="inlineStr">
        <is>
          <t>Estado</t>
        </is>
      </c>
      <c r="D1" s="10" t="inlineStr">
        <is>
          <t>Area</t>
        </is>
      </c>
      <c r="E1" s="10" t="inlineStr">
        <is>
          <t>Resultado</t>
        </is>
      </c>
      <c r="F1" s="10" t="inlineStr">
        <is>
          <t>EstadoItem</t>
        </is>
      </c>
    </row>
    <row r="2">
      <c r="A2" s="14" t="inlineStr">
        <is>
          <t>Concordancia</t>
        </is>
      </c>
      <c r="B2" s="14" t="inlineStr">
        <is>
          <t>Alta</t>
        </is>
      </c>
      <c r="C2" s="14" t="inlineStr">
        <is>
          <t>Abierta</t>
        </is>
      </c>
      <c r="D2" s="14" t="inlineStr">
        <is>
          <t>Documentación</t>
        </is>
      </c>
      <c r="E2" s="14" t="inlineStr">
        <is>
          <t>Cumple</t>
        </is>
      </c>
      <c r="F2" s="14" t="inlineStr">
        <is>
          <t>Concuerda</t>
        </is>
      </c>
    </row>
    <row r="3">
      <c r="A3" s="14" t="inlineStr">
        <is>
          <t>Discrepancia</t>
        </is>
      </c>
      <c r="B3" s="14" t="inlineStr">
        <is>
          <t>Media</t>
        </is>
      </c>
      <c r="C3" s="14" t="inlineStr">
        <is>
          <t>Respondida</t>
        </is>
      </c>
      <c r="D3" s="14" t="inlineStr">
        <is>
          <t>Balance / Actas</t>
        </is>
      </c>
      <c r="E3" s="14" t="inlineStr">
        <is>
          <t>No cumple</t>
        </is>
      </c>
      <c r="F3" s="14" t="inlineStr">
        <is>
          <t>Discrepa</t>
        </is>
      </c>
    </row>
    <row r="4">
      <c r="A4" s="14" t="inlineStr">
        <is>
          <t>Incumplimiento normativo</t>
        </is>
      </c>
      <c r="B4" s="14" t="inlineStr">
        <is>
          <t>Baja</t>
        </is>
      </c>
      <c r="C4" s="14" t="inlineStr">
        <is>
          <t>En revisión</t>
        </is>
      </c>
      <c r="D4" s="14" t="inlineStr">
        <is>
          <t>Iluminación (diseño)</t>
        </is>
      </c>
      <c r="E4" s="14" t="inlineStr">
        <is>
          <t>Parcial</t>
        </is>
      </c>
      <c r="F4" s="14" t="inlineStr">
        <is>
          <t>Sin respaldo</t>
        </is>
      </c>
    </row>
    <row r="5">
      <c r="A5" s="14" t="inlineStr">
        <is>
          <t>Información faltante</t>
        </is>
      </c>
      <c r="C5" s="14" t="inlineStr">
        <is>
          <t>Cerrada</t>
        </is>
      </c>
      <c r="D5" s="14" t="inlineStr">
        <is>
          <t>Cálculo de regulación</t>
        </is>
      </c>
      <c r="E5" s="14" t="inlineStr">
        <is>
          <t>No aplica</t>
        </is>
      </c>
      <c r="F5" s="14" t="inlineStr">
        <is>
          <t>Verificar</t>
        </is>
      </c>
    </row>
    <row r="6">
      <c r="A6" s="14" t="inlineStr">
        <is>
          <t>Verificar</t>
        </is>
      </c>
      <c r="C6" s="14" t="inlineStr">
        <is>
          <t>No aplica</t>
        </is>
      </c>
      <c r="D6" s="14" t="inlineStr">
        <is>
          <t>Unifilar / MT / Medida</t>
        </is>
      </c>
      <c r="E6" s="14" t="inlineStr">
        <is>
          <t>Pendiente</t>
        </is>
      </c>
      <c r="F6" s="14" t="inlineStr">
        <is>
          <t>Ítem faltante</t>
        </is>
      </c>
    </row>
    <row r="7">
      <c r="D7" s="14" t="inlineStr">
        <is>
          <t>Tableros y protecciones</t>
        </is>
      </c>
      <c r="F7" s="14" t="inlineStr">
        <is>
          <t>Retirado / reemplazado</t>
        </is>
      </c>
    </row>
    <row r="8">
      <c r="D8" s="14" t="inlineStr">
        <is>
          <t>Ductería y redes</t>
        </is>
      </c>
    </row>
    <row r="9">
      <c r="D9" s="14" t="inlineStr">
        <is>
          <t>Puesta a tierra</t>
        </is>
      </c>
    </row>
    <row r="10">
      <c r="D10" s="14" t="inlineStr">
        <is>
          <t>Otros</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2026-10-29T20:53:35Z</dcterms:created>
  <dcterms:modified xmlns:dcterms="http://purl.org/dc/terms/" xmlns:xsi="http://www.w3.org/2001/XMLSchema-instance" xsi:type="dcterms:W3CDTF">2026-10-29T21:44:56Z</dcterms:modified>
  <cp:lastModifiedBy>Efraim de Jesus Guerra Malo</cp:lastModifiedBy>
</cp:coreProperties>
</file>