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Balance_Cantidades" sheetId="2" state="visible" r:id="rId2"/>
    <sheet xmlns:r="http://schemas.openxmlformats.org/officeDocument/2006/relationships" name="Regulacion_Recalculada" sheetId="3" state="visible" r:id="rId3"/>
    <sheet xmlns:r="http://schemas.openxmlformats.org/officeDocument/2006/relationships" name="Matriz_Observaciones" sheetId="4" state="visible" r:id="rId4"/>
    <sheet xmlns:r="http://schemas.openxmlformats.org/officeDocument/2006/relationships" name="Lista_Verificacion" sheetId="5" state="visible" r:id="rId5"/>
    <sheet xmlns:r="http://schemas.openxmlformats.org/officeDocument/2006/relationships" name="Formato_Blanco" sheetId="6" state="visible" r:id="rId6"/>
    <sheet xmlns:r="http://schemas.openxmlformats.org/officeDocument/2006/relationships" name="Documentos" sheetId="7" state="visible" r:id="rId7"/>
    <sheet xmlns:r="http://schemas.openxmlformats.org/officeDocument/2006/relationships" name="Listas" sheetId="8" state="visible" r:id="rId8"/>
  </sheets>
  <definedNames>
    <definedName name="_xlnm._FilterDatabase" localSheetId="3" hidden="1">'Matriz_Observaciones'!$A$4:$R$59</definedName>
    <definedName name="_xlnm._FilterDatabase" localSheetId="5" hidden="1">'Formato_Blanco'!$A$4:$R$204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-#,##0.0;&quot;-&quot;"/>
    <numFmt numFmtId="165" formatCode="#,##0;[Red]-#,##0;&quot;-&quot;"/>
    <numFmt numFmtId="166" formatCode="0.0%"/>
    <numFmt numFmtId="167" formatCode="dd/mm/yyyy"/>
    <numFmt numFmtId="168" formatCode="&quot;$&quot;#,##0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0000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C00000"/>
      <sz val="11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4" borderId="1" pivotButton="0" quotePrefix="0" xfId="0"/>
    <xf numFmtId="0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8" fontId="8" fillId="0" borderId="0" applyAlignment="1" pivotButton="0" quotePrefix="0" xfId="0">
      <alignment horizontal="left"/>
    </xf>
    <xf numFmtId="0" fontId="6" fillId="0" borderId="0" applyAlignment="1" pivotButton="0" quotePrefix="0" xfId="0">
      <alignment/>
    </xf>
    <xf numFmtId="0" fontId="2" fillId="0" borderId="0" pivotButton="0" quotePrefix="0" xfId="0"/>
    <xf numFmtId="0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5" fontId="1" fillId="0" borderId="0" pivotButton="0" quotePrefix="0" xfId="0"/>
    <xf numFmtId="0" fontId="6" fillId="0" borderId="0" pivotButton="0" quotePrefix="0" xfId="0"/>
    <xf numFmtId="0" fontId="0" fillId="3" borderId="1" pivotButton="0" quotePrefix="0" xfId="0"/>
    <xf numFmtId="166" fontId="0" fillId="3" borderId="1" pivotButton="0" quotePrefix="0" xfId="0"/>
    <xf numFmtId="3" fontId="2" fillId="0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7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FCE4D6"/>
          <bgColor rgb="00FCE4D6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D1" s="1" t="inlineStr">
        <is>
          <t>REVISIÓN TÉCNICA ELÉCTRICA – INTERVENTORÍA</t>
        </is>
      </c>
    </row>
    <row r="2" ht="22" customHeight="1">
      <c r="D2" s="2" t="inlineStr">
        <is>
          <t>Instituto Distrital de Deporte y Recreación – IDER</t>
        </is>
      </c>
    </row>
    <row r="4">
      <c r="A4" s="3" t="inlineStr">
        <is>
          <t>Objeto</t>
        </is>
      </c>
      <c r="B4" s="4" t="inlineStr">
        <is>
          <t>Construcción de la Unidad Deportiva de Bayunca, Distrito de Cartagena</t>
        </is>
      </c>
    </row>
    <row r="5">
      <c r="A5" s="3" t="inlineStr">
        <is>
          <t>Contrato</t>
        </is>
      </c>
      <c r="B5" s="4" t="inlineStr">
        <is>
          <t>1376-2025 Lote 2</t>
        </is>
      </c>
    </row>
    <row r="6">
      <c r="A6" s="3" t="inlineStr">
        <is>
          <t>Contratista</t>
        </is>
      </c>
      <c r="B6" s="4" t="inlineStr">
        <is>
          <t>Consorcio Deport Rev-Bayunca (NIT 902016322-9)</t>
        </is>
      </c>
    </row>
    <row r="7">
      <c r="A7" s="3" t="inlineStr">
        <is>
          <t>Valor del contrato</t>
        </is>
      </c>
      <c r="B7" s="5" t="n">
        <v>13986669360.08</v>
      </c>
    </row>
    <row r="8">
      <c r="A8" s="3" t="inlineStr">
        <is>
          <t>Fecha de inicio / terminación</t>
        </is>
      </c>
      <c r="B8" s="4" t="inlineStr">
        <is>
          <t>26-01-2026 / 26-09-2026</t>
        </is>
      </c>
    </row>
    <row r="9">
      <c r="A9" s="3" t="inlineStr">
        <is>
          <t>Acta revisada</t>
        </is>
      </c>
      <c r="B9" s="4" t="inlineStr">
        <is>
          <t>Mayores y menores cantidades e ítems nuevos (corte 15-10-26)</t>
        </is>
      </c>
    </row>
    <row r="10">
      <c r="A10" s="3" t="inlineStr">
        <is>
          <t>Interventor eléctrico</t>
        </is>
      </c>
      <c r="B10" s="4" t="inlineStr">
        <is>
          <t>[Nombre y matrícula profesional]</t>
        </is>
      </c>
    </row>
    <row r="11">
      <c r="A11" s="3" t="inlineStr">
        <is>
          <t>Fecha de revisión</t>
        </is>
      </c>
      <c r="B11" s="4" t="inlineStr">
        <is>
          <t>29-10-2026</t>
        </is>
      </c>
    </row>
    <row r="14">
      <c r="A14" s="6" t="inlineStr">
        <is>
          <t>Resumen por tipo de hallazgo</t>
        </is>
      </c>
    </row>
    <row r="15" ht="32" customHeight="1">
      <c r="A15" s="7" t="inlineStr">
        <is>
          <t>Tipo</t>
        </is>
      </c>
      <c r="B15" s="7" t="inlineStr">
        <is>
          <t>Cantidad</t>
        </is>
      </c>
    </row>
    <row r="16">
      <c r="A16" s="8" t="inlineStr">
        <is>
          <t>Concordancia</t>
        </is>
      </c>
      <c r="B16" s="9">
        <f>COUNTIF(Matriz_Observaciones!$E$5:$E$400,A16)</f>
        <v/>
      </c>
    </row>
    <row r="17">
      <c r="A17" s="8" t="inlineStr">
        <is>
          <t>Discrepancia</t>
        </is>
      </c>
      <c r="B17" s="9">
        <f>COUNTIF(Matriz_Observaciones!$E$5:$E$400,A17)</f>
        <v/>
      </c>
    </row>
    <row r="18">
      <c r="A18" s="8" t="inlineStr">
        <is>
          <t>Incumplimiento normativo</t>
        </is>
      </c>
      <c r="B18" s="9">
        <f>COUNTIF(Matriz_Observaciones!$E$5:$E$400,A18)</f>
        <v/>
      </c>
    </row>
    <row r="19">
      <c r="A19" s="8" t="inlineStr">
        <is>
          <t>Información faltante</t>
        </is>
      </c>
      <c r="B19" s="9">
        <f>COUNTIF(Matriz_Observaciones!$E$5:$E$400,A19)</f>
        <v/>
      </c>
    </row>
    <row r="20">
      <c r="A20" s="8" t="inlineStr">
        <is>
          <t>Verificar</t>
        </is>
      </c>
      <c r="B20" s="9">
        <f>COUNTIF(Matriz_Observaciones!$E$5:$E$400,A20)</f>
        <v/>
      </c>
    </row>
    <row r="21">
      <c r="A21" s="10" t="inlineStr">
        <is>
          <t>Total</t>
        </is>
      </c>
      <c r="B21" s="11">
        <f>SUM(B16:B20)</f>
        <v/>
      </c>
    </row>
    <row r="23">
      <c r="A23" s="6" t="inlineStr">
        <is>
          <t>Observaciones abiertas por criticidad</t>
        </is>
      </c>
    </row>
    <row r="24" ht="32" customHeight="1">
      <c r="A24" s="7" t="inlineStr">
        <is>
          <t>Criticidad</t>
        </is>
      </c>
      <c r="B24" s="7" t="inlineStr">
        <is>
          <t>Abiertas (no concordancias)</t>
        </is>
      </c>
    </row>
    <row r="25">
      <c r="A25" s="8" t="inlineStr">
        <is>
          <t>Alta</t>
        </is>
      </c>
      <c r="B25" s="9">
        <f>COUNTIFS(Matriz_Observaciones!$J$5:$J$400,A25,Matriz_Observaciones!$O$5:$O$400,"&lt;&gt;Cerrada",Matriz_Observaciones!$O$5:$O$400,"&lt;&gt;No aplica",Matriz_Observaciones!$E$5:$E$400,"&lt;&gt;Concordancia")</f>
        <v/>
      </c>
    </row>
    <row r="26">
      <c r="A26" s="8" t="inlineStr">
        <is>
          <t>Media</t>
        </is>
      </c>
      <c r="B26" s="9">
        <f>COUNTIFS(Matriz_Observaciones!$J$5:$J$400,A26,Matriz_Observaciones!$O$5:$O$400,"&lt;&gt;Cerrada",Matriz_Observaciones!$O$5:$O$400,"&lt;&gt;No aplica",Matriz_Observaciones!$E$5:$E$400,"&lt;&gt;Concordancia")</f>
        <v/>
      </c>
    </row>
    <row r="27">
      <c r="A27" s="8" t="inlineStr">
        <is>
          <t>Baja</t>
        </is>
      </c>
      <c r="B27" s="9">
        <f>COUNTIFS(Matriz_Observaciones!$J$5:$J$400,A27,Matriz_Observaciones!$O$5:$O$400,"&lt;&gt;Cerrada",Matriz_Observaciones!$O$5:$O$400,"&lt;&gt;No aplica",Matriz_Observaciones!$E$5:$E$400,"&lt;&gt;Concordancia")</f>
        <v/>
      </c>
    </row>
    <row r="29">
      <c r="A29" s="6" t="inlineStr">
        <is>
          <t>Resumen por estado</t>
        </is>
      </c>
    </row>
    <row r="30" ht="32" customHeight="1">
      <c r="A30" s="7" t="inlineStr">
        <is>
          <t>Estado</t>
        </is>
      </c>
      <c r="B30" s="7" t="inlineStr">
        <is>
          <t>Cantidad</t>
        </is>
      </c>
    </row>
    <row r="31">
      <c r="A31" s="8" t="inlineStr">
        <is>
          <t>Abierta</t>
        </is>
      </c>
      <c r="B31" s="9">
        <f>COUNTIF(Matriz_Observaciones!$O$5:$O$400,A31)</f>
        <v/>
      </c>
    </row>
    <row r="32">
      <c r="A32" s="8" t="inlineStr">
        <is>
          <t>Respondida</t>
        </is>
      </c>
      <c r="B32" s="9">
        <f>COUNTIF(Matriz_Observaciones!$O$5:$O$400,A32)</f>
        <v/>
      </c>
    </row>
    <row r="33">
      <c r="A33" s="8" t="inlineStr">
        <is>
          <t>En revisión</t>
        </is>
      </c>
      <c r="B33" s="9">
        <f>COUNTIF(Matriz_Observaciones!$O$5:$O$400,A33)</f>
        <v/>
      </c>
    </row>
    <row r="34">
      <c r="A34" s="8" t="inlineStr">
        <is>
          <t>Cerrada</t>
        </is>
      </c>
      <c r="B34" s="9">
        <f>COUNTIF(Matriz_Observaciones!$O$5:$O$400,A34)</f>
        <v/>
      </c>
    </row>
    <row r="35">
      <c r="A35" s="8" t="inlineStr">
        <is>
          <t>No aplica</t>
        </is>
      </c>
      <c r="B35" s="9">
        <f>COUNTIF(Matriz_Observaciones!$O$5:$O$400,A35)</f>
        <v/>
      </c>
    </row>
    <row r="37">
      <c r="A37" s="6" t="inlineStr">
        <is>
          <t>Valor no sustentado estimado (COP)</t>
        </is>
      </c>
      <c r="B37" s="12">
        <f>SUM(Matriz_Observaciones!K5:K400)</f>
        <v/>
      </c>
    </row>
    <row r="38">
      <c r="A38" s="13" t="inlineStr">
        <is>
          <t>Suma de las observaciones con valor. Es una estimación conservadora y no incluye sobreprecios sin cuantificar ni ítems faltantes.</t>
        </is>
      </c>
    </row>
    <row r="40">
      <c r="A40" s="6" t="inlineStr">
        <is>
          <t>Contenido del libro</t>
        </is>
      </c>
    </row>
    <row r="41">
      <c r="A41" s="10" t="inlineStr">
        <is>
          <t>Matriz_Observaciones</t>
        </is>
      </c>
      <c r="B41" s="14" t="inlineStr">
        <is>
          <t>Hallazgos con norma, criticidad, acción exigida y seguimiento</t>
        </is>
      </c>
    </row>
    <row r="42">
      <c r="A42" s="10" t="inlineStr">
        <is>
          <t>Balance_Cantidades</t>
        </is>
      </c>
      <c r="B42" s="14" t="inlineStr">
        <is>
          <t>Cantidades del acta vs planos / cálculo / unifilar y valor no sustentado</t>
        </is>
      </c>
    </row>
    <row r="43">
      <c r="A43" s="10" t="inlineStr">
        <is>
          <t>Regulacion_Recalculada</t>
        </is>
      </c>
      <c r="B43" s="14" t="inlineStr">
        <is>
          <t>Caída de tensión recalculada con parámetros editables</t>
        </is>
      </c>
    </row>
    <row r="44">
      <c r="A44" s="10" t="inlineStr">
        <is>
          <t>Lista_Verificacion</t>
        </is>
      </c>
      <c r="B44" s="14" t="inlineStr">
        <is>
          <t>Formato reutilizable de revisión de proyectos eléctricos</t>
        </is>
      </c>
    </row>
    <row r="45">
      <c r="A45" s="10" t="inlineStr">
        <is>
          <t>Formato_Blanco</t>
        </is>
      </c>
      <c r="B45" s="14" t="inlineStr">
        <is>
          <t>Matriz vacía para un nuevo proyecto</t>
        </is>
      </c>
    </row>
    <row r="46">
      <c r="A46" s="10" t="inlineStr">
        <is>
          <t>Documentos</t>
        </is>
      </c>
      <c r="B46" s="14" t="inlineStr">
        <is>
          <t>Control de documentos revisados y pendientes</t>
        </is>
      </c>
    </row>
    <row r="47">
      <c r="A47" s="10" t="inlineStr">
        <is>
          <t>Listas</t>
        </is>
      </c>
      <c r="B47" s="14" t="inlineStr">
        <is>
          <t>Listas desplegables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6" customWidth="1" min="10" max="10"/>
    <col width="18" customWidth="1" min="11" max="11"/>
    <col width="62" customWidth="1" min="12" max="12"/>
  </cols>
  <sheetData>
    <row r="1" ht="22" customHeight="1">
      <c r="D1" s="1" t="inlineStr">
        <is>
          <t>Balance de cantidades: Excel contratista vs. planos / cálculo / unifilar</t>
        </is>
      </c>
    </row>
    <row r="2" ht="22" customHeight="1">
      <c r="D2" s="2" t="inlineStr">
        <is>
          <t>Celdas amarillas = cantidad de referencia adoptada por la interventoría (editable). Valor no sustentado = exceso × valor unitario.</t>
        </is>
      </c>
    </row>
    <row r="4" ht="32" customHeight="1">
      <c r="A4" s="7" t="inlineStr">
        <is>
          <t>Ítem</t>
        </is>
      </c>
      <c r="B4" s="7" t="inlineStr">
        <is>
          <t>Descripción</t>
        </is>
      </c>
      <c r="C4" s="7" t="inlineStr">
        <is>
          <t>Und</t>
        </is>
      </c>
      <c r="D4" s="7" t="inlineStr">
        <is>
          <t>Cant. balance (Excel)</t>
        </is>
      </c>
      <c r="E4" s="7" t="inlineStr">
        <is>
          <t>Cant. planos / DXF</t>
        </is>
      </c>
      <c r="F4" s="7" t="inlineStr">
        <is>
          <t>Cant. cálculo regulación</t>
        </is>
      </c>
      <c r="G4" s="7" t="inlineStr">
        <is>
          <t>Cant. unifilar / informe</t>
        </is>
      </c>
      <c r="H4" s="7" t="inlineStr">
        <is>
          <t>Cant. referencia adoptada</t>
        </is>
      </c>
      <c r="I4" s="7" t="inlineStr">
        <is>
          <t>Diferencia (balance − ref.)</t>
        </is>
      </c>
      <c r="J4" s="7" t="inlineStr">
        <is>
          <t>Valor unitario (COP)</t>
        </is>
      </c>
      <c r="K4" s="7" t="inlineStr">
        <is>
          <t>Valor no sustentado (COP)</t>
        </is>
      </c>
      <c r="L4" s="7" t="inlineStr">
        <is>
          <t>Criterio de referencia / nota</t>
        </is>
      </c>
    </row>
    <row r="5">
      <c r="A5" s="4" t="inlineStr">
        <is>
          <t>IN16.18</t>
        </is>
      </c>
      <c r="B5" s="4" t="inlineStr">
        <is>
          <t>Proyectores LED 820 W (Fútbol 9)</t>
        </is>
      </c>
      <c r="C5" s="4" t="inlineStr">
        <is>
          <t>UND</t>
        </is>
      </c>
      <c r="D5" s="4" t="n">
        <v>32</v>
      </c>
      <c r="E5" s="4" t="n">
        <v>32</v>
      </c>
      <c r="F5" s="4" t="n">
        <v>32</v>
      </c>
      <c r="G5" s="4" t="n"/>
      <c r="H5" s="15" t="n">
        <v>32</v>
      </c>
      <c r="I5" s="16">
        <f>D5-H5</f>
        <v/>
      </c>
      <c r="J5" s="17" t="n">
        <v>10501556</v>
      </c>
      <c r="K5" s="17">
        <f>MAX(0,I5)*J5</f>
        <v/>
      </c>
      <c r="L5" s="4" t="inlineStr">
        <is>
          <t>Cantidad coincide (4 mástiles × 8). El plano/DXF/cálculo son de 480 W, no 820 W: sobreprecio por referencia aún sin cuantificar.</t>
        </is>
      </c>
    </row>
    <row r="6">
      <c r="A6" s="4" t="inlineStr">
        <is>
          <t>IN16.19</t>
        </is>
      </c>
      <c r="B6" s="4" t="inlineStr">
        <is>
          <t>Proyectores LED 450 W (Múltiple / Fútbol 6)</t>
        </is>
      </c>
      <c r="C6" s="4" t="inlineStr">
        <is>
          <t>UND</t>
        </is>
      </c>
      <c r="D6" s="4" t="n">
        <v>46</v>
      </c>
      <c r="E6" s="4" t="n">
        <v>6</v>
      </c>
      <c r="F6" s="4" t="n">
        <v>18</v>
      </c>
      <c r="G6" s="4" t="n"/>
      <c r="H6" s="15" t="n">
        <v>6</v>
      </c>
      <c r="I6" s="16">
        <f>D6-H6</f>
        <v/>
      </c>
      <c r="J6" s="17" t="n">
        <v>6001021</v>
      </c>
      <c r="K6" s="17">
        <f>MAX(0,I6)*J6</f>
        <v/>
      </c>
      <c r="L6" s="4" t="inlineStr">
        <is>
          <t>Plano e informe DIALux: 6 × 160 W. Cálculo: 6 postes × 3 × 160 W = 18. Ningún documento muestra 450 W. Referencia = plano.</t>
        </is>
      </c>
    </row>
    <row r="7">
      <c r="A7" s="4" t="inlineStr">
        <is>
          <t>IN14.20</t>
        </is>
      </c>
      <c r="B7" s="4" t="inlineStr">
        <is>
          <t>Mástil 12 m (4 reflectores)</t>
        </is>
      </c>
      <c r="C7" s="4" t="inlineStr">
        <is>
          <t>UND</t>
        </is>
      </c>
      <c r="D7" s="4" t="n">
        <v>8</v>
      </c>
      <c r="E7" s="4" t="n">
        <v>4</v>
      </c>
      <c r="F7" s="4" t="n">
        <v>6</v>
      </c>
      <c r="G7" s="4" t="n">
        <v>2</v>
      </c>
      <c r="H7" s="15" t="n">
        <v>4</v>
      </c>
      <c r="I7" s="16">
        <f>D7-H7</f>
        <v/>
      </c>
      <c r="J7" s="17" t="n">
        <v>26954265</v>
      </c>
      <c r="K7" s="17">
        <f>MAX(0,I7)*J7</f>
        <v/>
      </c>
      <c r="L7" s="4" t="inlineStr">
        <is>
          <t>Plano: tabla = 4, dibujados = 2. Cálculo = 6. Unifilar = 2 circuitos de cancha. Referencia = tabla del plano (ajustar si se adopta otro).</t>
        </is>
      </c>
    </row>
    <row r="8">
      <c r="A8" s="4" t="inlineStr">
        <is>
          <t>IN14.21</t>
        </is>
      </c>
      <c r="B8" s="4" t="inlineStr">
        <is>
          <t>Mástil 22 m (10 reflectores)</t>
        </is>
      </c>
      <c r="C8" s="4" t="inlineStr">
        <is>
          <t>UND</t>
        </is>
      </c>
      <c r="D8" s="4" t="n">
        <v>4</v>
      </c>
      <c r="E8" s="4" t="n">
        <v>4</v>
      </c>
      <c r="F8" s="4" t="n">
        <v>4</v>
      </c>
      <c r="G8" s="4" t="n">
        <v>4</v>
      </c>
      <c r="H8" s="15" t="n">
        <v>4</v>
      </c>
      <c r="I8" s="16">
        <f>D8-H8</f>
        <v/>
      </c>
      <c r="J8" s="17" t="n">
        <v>57610106.38</v>
      </c>
      <c r="K8" s="17">
        <f>MAX(0,I8)*J8</f>
        <v/>
      </c>
      <c r="L8" s="4" t="inlineStr">
        <is>
          <t>Cantidad coincide. Diseño = 8 proyectores por mástil; balance dice capacidad 10 al mismo precio del 4.47 (capacidad 8).</t>
        </is>
      </c>
    </row>
    <row r="9">
      <c r="A9" s="4" t="inlineStr">
        <is>
          <t>S/C</t>
        </is>
      </c>
      <c r="B9" s="4" t="inlineStr">
        <is>
          <t>Luminaria solar 60 W</t>
        </is>
      </c>
      <c r="C9" s="4" t="inlineStr">
        <is>
          <t>UND</t>
        </is>
      </c>
      <c r="D9" s="4" t="n">
        <v>30</v>
      </c>
      <c r="E9" s="4" t="n">
        <v>0</v>
      </c>
      <c r="F9" s="4" t="n">
        <v>0</v>
      </c>
      <c r="G9" s="4" t="n">
        <v>0</v>
      </c>
      <c r="H9" s="15" t="n">
        <v>0</v>
      </c>
      <c r="I9" s="16">
        <f>D9-H9</f>
        <v/>
      </c>
      <c r="J9" s="17" t="n">
        <v>3760000</v>
      </c>
      <c r="K9" s="17">
        <f>MAX(0,I9)*J9</f>
        <v/>
      </c>
      <c r="L9" s="4" t="inlineStr">
        <is>
          <t>No aparece en planos, DXF, cálculo ni unifilar. Sin código de ítem; unidad "UMD".</t>
        </is>
      </c>
    </row>
    <row r="10">
      <c r="A10" s="4" t="inlineStr">
        <is>
          <t>S/C</t>
        </is>
      </c>
      <c r="B10" s="4" t="inlineStr">
        <is>
          <t>Poste metálico 5 m para luminaria solar</t>
        </is>
      </c>
      <c r="C10" s="4" t="inlineStr">
        <is>
          <t>UND</t>
        </is>
      </c>
      <c r="D10" s="4" t="n">
        <v>30</v>
      </c>
      <c r="E10" s="4" t="n">
        <v>0</v>
      </c>
      <c r="F10" s="4" t="n">
        <v>0</v>
      </c>
      <c r="G10" s="4" t="n">
        <v>0</v>
      </c>
      <c r="H10" s="15" t="n">
        <v>0</v>
      </c>
      <c r="I10" s="16">
        <f>D10-H10</f>
        <v/>
      </c>
      <c r="J10" s="17" t="n">
        <v>2672789</v>
      </c>
      <c r="K10" s="17">
        <f>MAX(0,I10)*J10</f>
        <v/>
      </c>
      <c r="L10" s="4" t="inlineStr">
        <is>
          <t>Sin respaldo en planos. Sin código de ítem.</t>
        </is>
      </c>
    </row>
    <row r="11">
      <c r="A11" s="4" t="inlineStr">
        <is>
          <t>4.44</t>
        </is>
      </c>
      <c r="B11" s="4" t="inlineStr">
        <is>
          <t>Orientación de reflectores deportivos (total 32 + 46)</t>
        </is>
      </c>
      <c r="C11" s="4" t="inlineStr">
        <is>
          <t>UND</t>
        </is>
      </c>
      <c r="D11" s="4" t="n">
        <v>78</v>
      </c>
      <c r="E11" s="4" t="n">
        <v>38</v>
      </c>
      <c r="F11" s="4" t="n"/>
      <c r="G11" s="4" t="n"/>
      <c r="H11" s="15" t="n">
        <v>38</v>
      </c>
      <c r="I11" s="16">
        <f>D11-H11</f>
        <v/>
      </c>
      <c r="J11" s="17" t="n">
        <v>670209.62</v>
      </c>
      <c r="K11" s="17">
        <f>MAX(0,I11)*J11</f>
        <v/>
      </c>
      <c r="L11" s="4" t="inlineStr">
        <is>
          <t>Referencia = 32 (480 W) + 6 (160 W) = 38.</t>
        </is>
      </c>
    </row>
    <row r="12">
      <c r="A12" s="4" t="inlineStr">
        <is>
          <t>4.29</t>
        </is>
      </c>
      <c r="B12" s="4" t="inlineStr">
        <is>
          <t>Apantallamiento de mástiles de iluminación</t>
        </is>
      </c>
      <c r="C12" s="4" t="inlineStr">
        <is>
          <t>UND</t>
        </is>
      </c>
      <c r="D12" s="4" t="n">
        <v>10</v>
      </c>
      <c r="E12" s="4" t="n">
        <v>8</v>
      </c>
      <c r="F12" s="4" t="n"/>
      <c r="G12" s="4" t="n"/>
      <c r="H12" s="15" t="n">
        <v>8</v>
      </c>
      <c r="I12" s="16">
        <f>D12-H12</f>
        <v/>
      </c>
      <c r="J12" s="17" t="n">
        <v>6908528.14</v>
      </c>
      <c r="K12" s="17">
        <f>MAX(0,I12)*J12</f>
        <v/>
      </c>
      <c r="L12" s="4" t="inlineStr">
        <is>
          <t>Postes: 4 (22 m) + 4 (12 m, tabla) = 8. Máximo justificable.</t>
        </is>
      </c>
    </row>
    <row r="13">
      <c r="A13" s="4" t="inlineStr">
        <is>
          <t>4.25</t>
        </is>
      </c>
      <c r="B13" s="4" t="inlineStr">
        <is>
          <t>Caja de abonado 8P para luminarias</t>
        </is>
      </c>
      <c r="C13" s="4" t="inlineStr">
        <is>
          <t>UND</t>
        </is>
      </c>
      <c r="D13" s="4" t="n">
        <v>10</v>
      </c>
      <c r="E13" s="4" t="n">
        <v>8</v>
      </c>
      <c r="F13" s="4" t="n"/>
      <c r="G13" s="4" t="n"/>
      <c r="H13" s="15" t="n">
        <v>8</v>
      </c>
      <c r="I13" s="16">
        <f>D13-H13</f>
        <v/>
      </c>
      <c r="J13" s="17" t="n">
        <v>1207695.12</v>
      </c>
      <c r="K13" s="17">
        <f>MAX(0,I13)*J13</f>
        <v/>
      </c>
      <c r="L13" s="4" t="inlineStr">
        <is>
          <t>Una por poste/mástil: 4 + 4.</t>
        </is>
      </c>
    </row>
    <row r="14">
      <c r="A14" s="4" t="inlineStr">
        <is>
          <t>IN14.11</t>
        </is>
      </c>
      <c r="B14" s="4" t="inlineStr">
        <is>
          <t>Alimentador mástiles Fútbol 9 (2#4 Al + T)</t>
        </is>
      </c>
      <c r="C14" s="4" t="inlineStr">
        <is>
          <t>M</t>
        </is>
      </c>
      <c r="D14" s="4" t="n">
        <v>817.2</v>
      </c>
      <c r="E14" s="4" t="n">
        <v>576</v>
      </c>
      <c r="F14" s="4" t="n">
        <v>673</v>
      </c>
      <c r="G14" s="4" t="n"/>
      <c r="H14" s="15" t="n">
        <v>673</v>
      </c>
      <c r="I14" s="16">
        <f>D14-H14</f>
        <v/>
      </c>
      <c r="J14" s="17" t="n">
        <v>141382</v>
      </c>
      <c r="K14" s="17">
        <f>MAX(0,I14)*J14</f>
        <v/>
      </c>
      <c r="L14" s="4" t="inlineStr">
        <is>
          <t>Cálculo: 232+191+105+145 = 673 m (incluye 22 m de altura por mástil). DXF ≈ 576 m (BT-05 sin trazado).</t>
        </is>
      </c>
    </row>
    <row r="15">
      <c r="A15" s="4" t="inlineStr">
        <is>
          <t>IN14.10</t>
        </is>
      </c>
      <c r="B15" s="4" t="inlineStr">
        <is>
          <t>Alimentador Múltiple y Fútbol 6 (2#6 Al + T)</t>
        </is>
      </c>
      <c r="C15" s="4" t="inlineStr">
        <is>
          <t>M</t>
        </is>
      </c>
      <c r="D15" s="4" t="n">
        <v>486.8</v>
      </c>
      <c r="E15" s="4" t="n">
        <v>196</v>
      </c>
      <c r="F15" s="4" t="n">
        <v>408</v>
      </c>
      <c r="G15" s="4" t="n"/>
      <c r="H15" s="15" t="n">
        <v>408</v>
      </c>
      <c r="I15" s="16">
        <f>D15-H15</f>
        <v/>
      </c>
      <c r="J15" s="17" t="n">
        <v>117358</v>
      </c>
      <c r="K15" s="17">
        <f>MAX(0,I15)*J15</f>
        <v/>
      </c>
      <c r="L15" s="4" t="inlineStr">
        <is>
          <t>Cálculo: 6 postes = 408 m. DXF (IE BT-01/02) ≈ 196 m, incompleto. Referencia conservadora = cálculo.</t>
        </is>
      </c>
    </row>
    <row r="16">
      <c r="A16" s="4" t="inlineStr">
        <is>
          <t>IN14.7</t>
        </is>
      </c>
      <c r="B16" s="4" t="inlineStr">
        <is>
          <t>Acometida transformador–TGD (2×350 MCM Al)</t>
        </is>
      </c>
      <c r="C16" s="4" t="inlineStr">
        <is>
          <t>M</t>
        </is>
      </c>
      <c r="D16" s="4" t="n">
        <v>27.6</v>
      </c>
      <c r="E16" s="4" t="n"/>
      <c r="F16" s="4" t="n">
        <v>15</v>
      </c>
      <c r="G16" s="4" t="n"/>
      <c r="H16" s="15" t="n">
        <v>15</v>
      </c>
      <c r="I16" s="16">
        <f>D16-H16</f>
        <v/>
      </c>
      <c r="J16" s="17" t="n">
        <v>471887</v>
      </c>
      <c r="K16" s="17">
        <f>MAX(0,I16)*J16</f>
        <v/>
      </c>
      <c r="L16" s="4" t="inlineStr">
        <is>
          <t>Cálculo usa 15 m. Verificar localización real del transformador y del TGD.</t>
        </is>
      </c>
    </row>
    <row r="17">
      <c r="A17" s="4" t="inlineStr">
        <is>
          <t>IN14.9</t>
        </is>
      </c>
      <c r="B17" s="4" t="inlineStr">
        <is>
          <t>Acometida TB-Garita (2#6 Al)</t>
        </is>
      </c>
      <c r="C17" s="4" t="inlineStr">
        <is>
          <t>M</t>
        </is>
      </c>
      <c r="D17" s="4" t="n">
        <v>64.8</v>
      </c>
      <c r="E17" s="4" t="n"/>
      <c r="F17" s="4" t="n">
        <v>58</v>
      </c>
      <c r="G17" s="4" t="n"/>
      <c r="H17" s="15" t="n">
        <v>58</v>
      </c>
      <c r="I17" s="16">
        <f>D17-H17</f>
        <v/>
      </c>
      <c r="J17" s="17" t="n">
        <v>134966</v>
      </c>
      <c r="K17" s="17">
        <f>MAX(0,I17)*J17</f>
        <v/>
      </c>
      <c r="L17" s="4" t="inlineStr">
        <is>
          <t>Cálculo: 58 m.</t>
        </is>
      </c>
    </row>
    <row r="18">
      <c r="A18" s="4" t="inlineStr">
        <is>
          <t>IN14.8</t>
        </is>
      </c>
      <c r="B18" s="4" t="inlineStr">
        <is>
          <t>Acometida TB-Camerinos (2#8 Al)</t>
        </is>
      </c>
      <c r="C18" s="4" t="inlineStr">
        <is>
          <t>M</t>
        </is>
      </c>
      <c r="D18" s="4" t="n">
        <v>4.8</v>
      </c>
      <c r="E18" s="4" t="n"/>
      <c r="F18" s="4" t="n">
        <v>8</v>
      </c>
      <c r="G18" s="4" t="n"/>
      <c r="H18" s="15" t="n">
        <v>8</v>
      </c>
      <c r="I18" s="16">
        <f>D18-H18</f>
        <v/>
      </c>
      <c r="J18" s="17" t="n">
        <v>115242</v>
      </c>
      <c r="K18" s="17">
        <f>MAX(0,I18)*J18</f>
        <v/>
      </c>
      <c r="L18" s="4" t="inlineStr">
        <is>
          <t>Balance por debajo del cálculo (8 m): déficit, no genera valor no sustentado.</t>
        </is>
      </c>
    </row>
    <row r="19">
      <c r="A19" s="4" t="inlineStr">
        <is>
          <t>IN14.14 / .15</t>
        </is>
      </c>
      <c r="B19" s="4" t="inlineStr">
        <is>
          <t>Breakers enchufables 2×30 A (2) y 2×40 A (1)</t>
        </is>
      </c>
      <c r="C19" s="4" t="inlineStr">
        <is>
          <t>UND</t>
        </is>
      </c>
      <c r="D19" s="4" t="n">
        <v>3</v>
      </c>
      <c r="E19" s="4" t="n"/>
      <c r="F19" s="4" t="n"/>
      <c r="G19" s="4" t="n"/>
      <c r="H19" s="15" t="n">
        <v>0</v>
      </c>
      <c r="I19" s="16">
        <f>D19-H19</f>
        <v/>
      </c>
      <c r="J19" s="17" t="n">
        <v>205000</v>
      </c>
      <c r="K19" s="17">
        <f>MAX(0,I19)*J19</f>
        <v/>
      </c>
      <c r="L19" s="4" t="inlineStr">
        <is>
          <t>Posible doble cobro con 4.22 (tablero general "según unifilar"). Referencia 0 hasta ver el APU de 4.22. Valor unit. = promedio (400.562+215.638)/3.</t>
        </is>
      </c>
    </row>
    <row r="20">
      <c r="A20" s="4" t="inlineStr">
        <is>
          <t>S/I</t>
        </is>
      </c>
      <c r="B20" s="4" t="inlineStr">
        <is>
          <t>Transformador 50 kVA tipo poste</t>
        </is>
      </c>
      <c r="C20" s="4" t="inlineStr">
        <is>
          <t>UND</t>
        </is>
      </c>
      <c r="D20" s="4" t="n">
        <v>0</v>
      </c>
      <c r="E20" s="4" t="n"/>
      <c r="F20" s="4" t="n"/>
      <c r="G20" s="4" t="n">
        <v>1</v>
      </c>
      <c r="H20" s="15" t="n">
        <v>1</v>
      </c>
      <c r="I20" s="16">
        <f>D20-H20</f>
        <v/>
      </c>
      <c r="J20" s="17" t="n">
        <v>0</v>
      </c>
      <c r="K20" s="17">
        <f>MAX(0,I20)*J20</f>
        <v/>
      </c>
      <c r="L20" s="4" t="inlineStr">
        <is>
          <t>Unifilar: 50 kVA. Balance: 4.9 (100 kVA) retirado, sin ítem de reemplazo. Déficit: aclarar suministro (¿Afinia?).</t>
        </is>
      </c>
    </row>
    <row r="21">
      <c r="A21" s="4" t="inlineStr">
        <is>
          <t>S/I</t>
        </is>
      </c>
      <c r="B21" s="4" t="inlineStr">
        <is>
          <t>Poste de concreto EPP007 (soporte del transformador)</t>
        </is>
      </c>
      <c r="C21" s="4" t="inlineStr">
        <is>
          <t>UND</t>
        </is>
      </c>
      <c r="D21" s="4" t="n">
        <v>0</v>
      </c>
      <c r="E21" s="4" t="n"/>
      <c r="F21" s="4" t="n"/>
      <c r="G21" s="4" t="n">
        <v>1</v>
      </c>
      <c r="H21" s="15" t="n">
        <v>1</v>
      </c>
      <c r="I21" s="16">
        <f>D21-H21</f>
        <v/>
      </c>
      <c r="J21" s="17" t="n">
        <v>0</v>
      </c>
      <c r="K21" s="17">
        <f>MAX(0,I21)*J21</f>
        <v/>
      </c>
      <c r="L21" s="4" t="inlineStr">
        <is>
          <t>4.5 retirado, sin reemplazo. Aclarar.</t>
        </is>
      </c>
    </row>
    <row r="22">
      <c r="A22" s="4" t="inlineStr">
        <is>
          <t>S/I</t>
        </is>
      </c>
      <c r="B22" s="4" t="inlineStr">
        <is>
          <t>DPS (3 en MT, 3 en transformador, 1 en TGD)</t>
        </is>
      </c>
      <c r="C22" s="4" t="inlineStr">
        <is>
          <t>UND</t>
        </is>
      </c>
      <c r="D22" s="4" t="n">
        <v>0</v>
      </c>
      <c r="E22" s="4" t="n"/>
      <c r="F22" s="4" t="n"/>
      <c r="G22" s="4" t="n">
        <v>7</v>
      </c>
      <c r="H22" s="15" t="n">
        <v>7</v>
      </c>
      <c r="I22" s="16">
        <f>D22-H22</f>
        <v/>
      </c>
      <c r="J22" s="17" t="n">
        <v>0</v>
      </c>
      <c r="K22" s="17">
        <f>MAX(0,I22)*J22</f>
        <v/>
      </c>
      <c r="L22" s="4" t="inlineStr">
        <is>
          <t>No hay ítem de DPS en el balance (solo 4.6 protecciones y herrajes).</t>
        </is>
      </c>
    </row>
    <row r="24">
      <c r="J24" s="10" t="inlineStr">
        <is>
          <t>TOTAL no sustentado</t>
        </is>
      </c>
      <c r="K24" s="18">
        <f>SUM(K5:K22)</f>
        <v/>
      </c>
    </row>
    <row r="26">
      <c r="B26" s="19" t="inlineStr">
        <is>
          <t>Nota: la cifra no incluye el posible sobreprecio de los proyectores de 820 W ni el valor de ítems faltantes (transformador, poste, DPS).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26" customWidth="1" min="4" max="4"/>
    <col width="14" customWidth="1" min="5" max="5"/>
    <col width="13" customWidth="1" min="6" max="6"/>
    <col width="13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  <col width="14" customWidth="1" min="13" max="13"/>
    <col width="12" customWidth="1" min="14" max="14"/>
    <col width="52" customWidth="1" min="15" max="15"/>
  </cols>
  <sheetData>
    <row r="1" ht="22" customHeight="1">
      <c r="D1" s="1" t="inlineStr">
        <is>
          <t>Recalculo de regulación de tensión (circuitos monofásicos 2F, 240 V)</t>
        </is>
      </c>
    </row>
    <row r="2" ht="22" customHeight="1">
      <c r="D2" s="2" t="inlineStr">
        <is>
          <t>ΔV = 2·L·P / (γ·S·V). Celdas amarillas editables. Con γ = 56 (Cu) se reproduce lo presentado por el contratista.</t>
        </is>
      </c>
    </row>
    <row r="4">
      <c r="A4" s="10" t="inlineStr">
        <is>
          <t>γ aluminio (m/Ω·mm²)</t>
        </is>
      </c>
      <c r="B4" s="20" t="n">
        <v>35</v>
      </c>
      <c r="D4" s="19" t="inlineStr">
        <is>
          <t>Criterio: NTC 2050 210-19 y 215-2 (notas informativas: 3 % alimentador / 5 % total). Confirmar criterio contractual.</t>
        </is>
      </c>
    </row>
    <row r="5">
      <c r="A5" s="10" t="inlineStr">
        <is>
          <t>γ usado por el contratista</t>
        </is>
      </c>
      <c r="B5" s="20" t="n">
        <v>56</v>
      </c>
    </row>
    <row r="6">
      <c r="A6" s="10" t="inlineStr">
        <is>
          <t>Tensión V</t>
        </is>
      </c>
      <c r="B6" s="20" t="n">
        <v>240</v>
      </c>
    </row>
    <row r="7">
      <c r="A7" s="10" t="inlineStr">
        <is>
          <t>Límite alimentador (%)</t>
        </is>
      </c>
      <c r="B7" s="21" t="n">
        <v>0.03</v>
      </c>
    </row>
    <row r="8">
      <c r="A8" s="10" t="inlineStr">
        <is>
          <t>Límite total (%)</t>
        </is>
      </c>
      <c r="B8" s="21" t="n">
        <v>0.05</v>
      </c>
    </row>
    <row r="10" ht="32" customHeight="1">
      <c r="A10" s="7" t="inlineStr">
        <is>
          <t>Circuito</t>
        </is>
      </c>
      <c r="B10" s="7" t="inlineStr">
        <is>
          <t>Carga P (W)</t>
        </is>
      </c>
      <c r="C10" s="7" t="inlineStr">
        <is>
          <t>Longitud (m)</t>
        </is>
      </c>
      <c r="D10" s="7" t="inlineStr">
        <is>
          <t>Cable (según unifilar)</t>
        </is>
      </c>
      <c r="E10" s="7" t="inlineStr">
        <is>
          <t>S usada por contratista (mm²)</t>
        </is>
      </c>
      <c r="F10" s="7" t="inlineStr">
        <is>
          <t>S real del cable (mm²)</t>
        </is>
      </c>
      <c r="G10" s="7" t="inlineStr">
        <is>
          <t>% contratista (hoja)</t>
        </is>
      </c>
      <c r="H10" s="7" t="inlineStr">
        <is>
          <t>ΔV recalculada (V)</t>
        </is>
      </c>
      <c r="I10" s="7" t="inlineStr">
        <is>
          <t>% recalculado</t>
        </is>
      </c>
      <c r="J10" s="7" t="inlineStr">
        <is>
          <t>Estado alimentador</t>
        </is>
      </c>
      <c r="K10" s="7" t="inlineStr">
        <is>
          <t>% total (con transformador)</t>
        </is>
      </c>
      <c r="L10" s="7" t="inlineStr">
        <is>
          <t>Estado total</t>
        </is>
      </c>
      <c r="M10" s="7" t="inlineStr">
        <is>
          <t>S alterna propuesta (mm²)</t>
        </is>
      </c>
      <c r="N10" s="7" t="inlineStr">
        <is>
          <t>% con S alterna</t>
        </is>
      </c>
      <c r="O10" s="7" t="inlineStr">
        <is>
          <t>Observación</t>
        </is>
      </c>
    </row>
    <row r="11">
      <c r="A11" s="4" t="inlineStr">
        <is>
          <t>Transformador → TGD</t>
        </is>
      </c>
      <c r="B11" s="22" t="n">
        <v>45000</v>
      </c>
      <c r="C11" s="4" t="n">
        <v>15</v>
      </c>
      <c r="D11" s="4" t="inlineStr">
        <is>
          <t>2×350 MCM Al</t>
        </is>
      </c>
      <c r="E11" s="4" t="n">
        <v>202</v>
      </c>
      <c r="F11" s="4" t="n">
        <v>177.34</v>
      </c>
      <c r="G11" s="23" t="n">
        <v>0.00207</v>
      </c>
      <c r="H11" s="24">
        <f>2*C11*B11/($B$4*F11*$B$6)</f>
        <v/>
      </c>
      <c r="I11" s="23">
        <f>H11/$B$6</f>
        <v/>
      </c>
      <c r="J11" s="4">
        <f>IF(I11&gt;$B$7,"NO CUMPLE","CUMPLE")</f>
        <v/>
      </c>
      <c r="K11" s="23">
        <f>I11</f>
        <v/>
      </c>
      <c r="L11" s="4">
        <f>IF(K11&gt;$B$8,"NO CUMPLE","CUMPLE")</f>
        <v/>
      </c>
      <c r="M11" s="4" t="n"/>
      <c r="N11" s="23" t="n"/>
      <c r="O11" s="4" t="inlineStr">
        <is>
          <t>Contratista usa 202 mm² (350 MCM = 177,34). Carga = capacidad nominal, no carga real.</t>
        </is>
      </c>
    </row>
    <row r="12">
      <c r="A12" s="4" t="inlineStr">
        <is>
          <t>Mástil 1</t>
        </is>
      </c>
      <c r="B12" s="22" t="n">
        <v>3840</v>
      </c>
      <c r="C12" s="4" t="n">
        <v>232</v>
      </c>
      <c r="D12" s="4" t="inlineStr">
        <is>
          <t>2#4 Al</t>
        </is>
      </c>
      <c r="E12" s="4" t="n">
        <v>68</v>
      </c>
      <c r="F12" s="4" t="n">
        <v>21.14</v>
      </c>
      <c r="G12" s="23" t="n">
        <v>0.00812</v>
      </c>
      <c r="H12" s="24">
        <f>2*C12*B12/($B$4*F12*$B$6)</f>
        <v/>
      </c>
      <c r="I12" s="23">
        <f>H12/$B$6</f>
        <v/>
      </c>
      <c r="J12" s="4">
        <f>IF(I12&gt;$B$7,"NO CUMPLE","CUMPLE")</f>
        <v/>
      </c>
      <c r="K12" s="23">
        <f>I12+$I$11</f>
        <v/>
      </c>
      <c r="L12" s="4">
        <f>IF(K12&gt;$B$8,"NO CUMPLE","CUMPLE")</f>
        <v/>
      </c>
      <c r="M12" s="15" t="n">
        <v>33.62</v>
      </c>
      <c r="N12" s="23">
        <f>2*C12*B12/($B$4*M12*$B$6)/$B$6</f>
        <v/>
      </c>
      <c r="O12" s="4" t="inlineStr">
        <is>
          <t>Contratista usa 68 mm² (≈2/0) en lugar de 21,14.</t>
        </is>
      </c>
    </row>
    <row r="13">
      <c r="A13" s="4" t="inlineStr">
        <is>
          <t>Mástil 2</t>
        </is>
      </c>
      <c r="B13" s="22" t="n">
        <v>3840</v>
      </c>
      <c r="C13" s="4" t="n">
        <v>191</v>
      </c>
      <c r="D13" s="4" t="inlineStr">
        <is>
          <t>2#4 Al</t>
        </is>
      </c>
      <c r="E13" s="4" t="n">
        <v>21.14</v>
      </c>
      <c r="F13" s="4" t="n">
        <v>21.14</v>
      </c>
      <c r="G13" s="23" t="n">
        <v>0.02151</v>
      </c>
      <c r="H13" s="24">
        <f>2*C13*B13/($B$4*F13*$B$6)</f>
        <v/>
      </c>
      <c r="I13" s="23">
        <f>H13/$B$6</f>
        <v/>
      </c>
      <c r="J13" s="4">
        <f>IF(I13&gt;$B$7,"NO CUMPLE","CUMPLE")</f>
        <v/>
      </c>
      <c r="K13" s="23">
        <f>I13+$I$11</f>
        <v/>
      </c>
      <c r="L13" s="4">
        <f>IF(K13&gt;$B$8,"NO CUMPLE","CUMPLE")</f>
        <v/>
      </c>
      <c r="M13" s="15" t="n">
        <v>33.62</v>
      </c>
      <c r="N13" s="23">
        <f>2*C13*B13/($B$4*M13*$B$6)/$B$6</f>
        <v/>
      </c>
      <c r="O13" s="4" t="inlineStr"/>
    </row>
    <row r="14">
      <c r="A14" s="4" t="inlineStr">
        <is>
          <t>Mástil 3</t>
        </is>
      </c>
      <c r="B14" s="22" t="n">
        <v>3840</v>
      </c>
      <c r="C14" s="4" t="n">
        <v>105</v>
      </c>
      <c r="D14" s="4" t="inlineStr">
        <is>
          <t>2#4 Al</t>
        </is>
      </c>
      <c r="E14" s="4" t="n">
        <v>21.14</v>
      </c>
      <c r="F14" s="4" t="n">
        <v>21.14</v>
      </c>
      <c r="G14" s="23" t="n">
        <v>0.01183</v>
      </c>
      <c r="H14" s="24">
        <f>2*C14*B14/($B$4*F14*$B$6)</f>
        <v/>
      </c>
      <c r="I14" s="23">
        <f>H14/$B$6</f>
        <v/>
      </c>
      <c r="J14" s="4">
        <f>IF(I14&gt;$B$7,"NO CUMPLE","CUMPLE")</f>
        <v/>
      </c>
      <c r="K14" s="23">
        <f>I14+$I$11</f>
        <v/>
      </c>
      <c r="L14" s="4">
        <f>IF(K14&gt;$B$8,"NO CUMPLE","CUMPLE")</f>
        <v/>
      </c>
      <c r="M14" s="15" t="n">
        <v>33.62</v>
      </c>
      <c r="N14" s="23">
        <f>2*C14*B14/($B$4*M14*$B$6)/$B$6</f>
        <v/>
      </c>
      <c r="O14" s="4" t="inlineStr"/>
    </row>
    <row r="15">
      <c r="A15" s="4" t="inlineStr">
        <is>
          <t>Mástil 4</t>
        </is>
      </c>
      <c r="B15" s="22" t="n">
        <v>3840</v>
      </c>
      <c r="C15" s="4" t="n">
        <v>145</v>
      </c>
      <c r="D15" s="4" t="inlineStr">
        <is>
          <t>2#4 Al</t>
        </is>
      </c>
      <c r="E15" s="4" t="n">
        <v>21.14</v>
      </c>
      <c r="F15" s="4" t="n">
        <v>21.14</v>
      </c>
      <c r="G15" s="23" t="n">
        <v>0.01633</v>
      </c>
      <c r="H15" s="24">
        <f>2*C15*B15/($B$4*F15*$B$6)</f>
        <v/>
      </c>
      <c r="I15" s="23">
        <f>H15/$B$6</f>
        <v/>
      </c>
      <c r="J15" s="4">
        <f>IF(I15&gt;$B$7,"NO CUMPLE","CUMPLE")</f>
        <v/>
      </c>
      <c r="K15" s="23">
        <f>I15+$I$11</f>
        <v/>
      </c>
      <c r="L15" s="4">
        <f>IF(K15&gt;$B$8,"NO CUMPLE","CUMPLE")</f>
        <v/>
      </c>
      <c r="M15" s="15" t="n">
        <v>33.62</v>
      </c>
      <c r="N15" s="23">
        <f>2*C15*B15/($B$4*M15*$B$6)/$B$6</f>
        <v/>
      </c>
      <c r="O15" s="4" t="inlineStr"/>
    </row>
    <row r="16">
      <c r="A16" s="4" t="inlineStr">
        <is>
          <t>Poste 12 m 1</t>
        </is>
      </c>
      <c r="B16" s="22" t="n">
        <v>480</v>
      </c>
      <c r="C16" s="4" t="n">
        <v>64</v>
      </c>
      <c r="D16" s="4" t="inlineStr">
        <is>
          <t>2#6 Al</t>
        </is>
      </c>
      <c r="E16" s="4" t="n">
        <v>13.29</v>
      </c>
      <c r="F16" s="4" t="n">
        <v>13.29</v>
      </c>
      <c r="G16" s="23" t="n">
        <v>0.00143</v>
      </c>
      <c r="H16" s="24">
        <f>2*C16*B16/($B$4*F16*$B$6)</f>
        <v/>
      </c>
      <c r="I16" s="23">
        <f>H16/$B$6</f>
        <v/>
      </c>
      <c r="J16" s="4">
        <f>IF(I16&gt;$B$7,"NO CUMPLE","CUMPLE")</f>
        <v/>
      </c>
      <c r="K16" s="23">
        <f>I16+$I$11</f>
        <v/>
      </c>
      <c r="L16" s="4">
        <f>IF(K16&gt;$B$8,"NO CUMPLE","CUMPLE")</f>
        <v/>
      </c>
      <c r="M16" s="4" t="n"/>
      <c r="N16" s="23" t="n"/>
      <c r="O16" s="4" t="inlineStr">
        <is>
          <t>Cálculo tiene 6 postes; unifilar 2 circuitos; plano 2/4.</t>
        </is>
      </c>
    </row>
    <row r="17">
      <c r="A17" s="4" t="inlineStr">
        <is>
          <t>Poste 12 m 2</t>
        </is>
      </c>
      <c r="B17" s="22" t="n">
        <v>480</v>
      </c>
      <c r="C17" s="4" t="n">
        <v>53</v>
      </c>
      <c r="D17" s="4" t="inlineStr">
        <is>
          <t>2#6 Al</t>
        </is>
      </c>
      <c r="E17" s="4" t="n">
        <v>13.29</v>
      </c>
      <c r="F17" s="4" t="n">
        <v>13.29</v>
      </c>
      <c r="G17" s="23" t="n">
        <v>0.00119</v>
      </c>
      <c r="H17" s="24">
        <f>2*C17*B17/($B$4*F17*$B$6)</f>
        <v/>
      </c>
      <c r="I17" s="23">
        <f>H17/$B$6</f>
        <v/>
      </c>
      <c r="J17" s="4">
        <f>IF(I17&gt;$B$7,"NO CUMPLE","CUMPLE")</f>
        <v/>
      </c>
      <c r="K17" s="23">
        <f>I17+$I$11</f>
        <v/>
      </c>
      <c r="L17" s="4">
        <f>IF(K17&gt;$B$8,"NO CUMPLE","CUMPLE")</f>
        <v/>
      </c>
      <c r="M17" s="4" t="n"/>
      <c r="N17" s="23" t="n"/>
      <c r="O17" s="4" t="inlineStr"/>
    </row>
    <row r="18">
      <c r="A18" s="4" t="inlineStr">
        <is>
          <t>Poste 12 m 3</t>
        </is>
      </c>
      <c r="B18" s="22" t="n">
        <v>480</v>
      </c>
      <c r="C18" s="4" t="n">
        <v>31</v>
      </c>
      <c r="D18" s="4" t="inlineStr">
        <is>
          <t>2#6 Al</t>
        </is>
      </c>
      <c r="E18" s="4" t="n">
        <v>13.29</v>
      </c>
      <c r="F18" s="4" t="n">
        <v>13.29</v>
      </c>
      <c r="G18" s="23" t="n">
        <v>0.00069</v>
      </c>
      <c r="H18" s="24">
        <f>2*C18*B18/($B$4*F18*$B$6)</f>
        <v/>
      </c>
      <c r="I18" s="23">
        <f>H18/$B$6</f>
        <v/>
      </c>
      <c r="J18" s="4">
        <f>IF(I18&gt;$B$7,"NO CUMPLE","CUMPLE")</f>
        <v/>
      </c>
      <c r="K18" s="23">
        <f>I18+$I$11</f>
        <v/>
      </c>
      <c r="L18" s="4">
        <f>IF(K18&gt;$B$8,"NO CUMPLE","CUMPLE")</f>
        <v/>
      </c>
      <c r="M18" s="4" t="n"/>
      <c r="N18" s="23" t="n"/>
      <c r="O18" s="4" t="inlineStr"/>
    </row>
    <row r="19">
      <c r="A19" s="4" t="inlineStr">
        <is>
          <t>Poste 12 m 4</t>
        </is>
      </c>
      <c r="B19" s="22" t="n">
        <v>480</v>
      </c>
      <c r="C19" s="4" t="n">
        <v>94</v>
      </c>
      <c r="D19" s="4" t="inlineStr">
        <is>
          <t>2#6 Al</t>
        </is>
      </c>
      <c r="E19" s="4" t="n">
        <v>13.29</v>
      </c>
      <c r="F19" s="4" t="n">
        <v>13.29</v>
      </c>
      <c r="G19" s="23" t="n">
        <v>0.00211</v>
      </c>
      <c r="H19" s="24">
        <f>2*C19*B19/($B$4*F19*$B$6)</f>
        <v/>
      </c>
      <c r="I19" s="23">
        <f>H19/$B$6</f>
        <v/>
      </c>
      <c r="J19" s="4">
        <f>IF(I19&gt;$B$7,"NO CUMPLE","CUMPLE")</f>
        <v/>
      </c>
      <c r="K19" s="23">
        <f>I19+$I$11</f>
        <v/>
      </c>
      <c r="L19" s="4">
        <f>IF(K19&gt;$B$8,"NO CUMPLE","CUMPLE")</f>
        <v/>
      </c>
      <c r="M19" s="4" t="n"/>
      <c r="N19" s="23" t="n"/>
      <c r="O19" s="4" t="inlineStr"/>
    </row>
    <row r="20">
      <c r="A20" s="4" t="inlineStr">
        <is>
          <t>Poste 12 m 5</t>
        </is>
      </c>
      <c r="B20" s="22" t="n">
        <v>480</v>
      </c>
      <c r="C20" s="4" t="n">
        <v>113</v>
      </c>
      <c r="D20" s="4" t="inlineStr">
        <is>
          <t>2#6 Al</t>
        </is>
      </c>
      <c r="E20" s="4" t="n">
        <v>13.29</v>
      </c>
      <c r="F20" s="4" t="n">
        <v>13.29</v>
      </c>
      <c r="G20" s="23" t="n">
        <v>0.00253</v>
      </c>
      <c r="H20" s="24">
        <f>2*C20*B20/($B$4*F20*$B$6)</f>
        <v/>
      </c>
      <c r="I20" s="23">
        <f>H20/$B$6</f>
        <v/>
      </c>
      <c r="J20" s="4">
        <f>IF(I20&gt;$B$7,"NO CUMPLE","CUMPLE")</f>
        <v/>
      </c>
      <c r="K20" s="23">
        <f>I20+$I$11</f>
        <v/>
      </c>
      <c r="L20" s="4">
        <f>IF(K20&gt;$B$8,"NO CUMPLE","CUMPLE")</f>
        <v/>
      </c>
      <c r="M20" s="4" t="n"/>
      <c r="N20" s="23" t="n"/>
      <c r="O20" s="4" t="inlineStr"/>
    </row>
    <row r="21">
      <c r="A21" s="4" t="inlineStr">
        <is>
          <t>Poste 12 m 6</t>
        </is>
      </c>
      <c r="B21" s="22" t="n">
        <v>480</v>
      </c>
      <c r="C21" s="4" t="n">
        <v>53</v>
      </c>
      <c r="D21" s="4" t="inlineStr">
        <is>
          <t>2#6 Al</t>
        </is>
      </c>
      <c r="E21" s="4" t="n">
        <v>13.29</v>
      </c>
      <c r="F21" s="4" t="n">
        <v>13.29</v>
      </c>
      <c r="G21" s="23" t="n">
        <v>0.00119</v>
      </c>
      <c r="H21" s="24">
        <f>2*C21*B21/($B$4*F21*$B$6)</f>
        <v/>
      </c>
      <c r="I21" s="23">
        <f>H21/$B$6</f>
        <v/>
      </c>
      <c r="J21" s="4">
        <f>IF(I21&gt;$B$7,"NO CUMPLE","CUMPLE")</f>
        <v/>
      </c>
      <c r="K21" s="23">
        <f>I21+$I$11</f>
        <v/>
      </c>
      <c r="L21" s="4">
        <f>IF(K21&gt;$B$8,"NO CUMPLE","CUMPLE")</f>
        <v/>
      </c>
      <c r="M21" s="4" t="n"/>
      <c r="N21" s="23" t="n"/>
      <c r="O21" s="4" t="inlineStr"/>
    </row>
    <row r="22">
      <c r="A22" s="4" t="inlineStr">
        <is>
          <t>TB-Camerinos</t>
        </is>
      </c>
      <c r="B22" s="22" t="n">
        <v>8722</v>
      </c>
      <c r="C22" s="4" t="n">
        <v>8</v>
      </c>
      <c r="D22" s="4" t="inlineStr">
        <is>
          <t>2#8 (Al/Cu?)</t>
        </is>
      </c>
      <c r="E22" s="4" t="n">
        <v>8.359999999999999</v>
      </c>
      <c r="F22" s="4" t="n">
        <v>8.359999999999999</v>
      </c>
      <c r="G22" s="23" t="n">
        <v>0.00518</v>
      </c>
      <c r="H22" s="24">
        <f>2*C22*B22/($B$4*F22*$B$6)</f>
        <v/>
      </c>
      <c r="I22" s="23">
        <f>H22/$B$6</f>
        <v/>
      </c>
      <c r="J22" s="4">
        <f>IF(I22&gt;$B$7,"NO CUMPLE","CUMPLE")</f>
        <v/>
      </c>
      <c r="K22" s="23">
        <f>I22+$I$11</f>
        <v/>
      </c>
      <c r="L22" s="4">
        <f>IF(K22&gt;$B$8,"NO CUMPLE","CUMPLE")</f>
        <v/>
      </c>
      <c r="M22" s="4" t="n"/>
      <c r="N22" s="23" t="n"/>
      <c r="O22" s="4" t="inlineStr">
        <is>
          <t>Corriente 40,4 A &gt; breaker 40 A.</t>
        </is>
      </c>
    </row>
    <row r="23">
      <c r="A23" s="4" t="inlineStr">
        <is>
          <t>TB-Garita</t>
        </is>
      </c>
      <c r="B23" s="22" t="n">
        <v>5250</v>
      </c>
      <c r="C23" s="4" t="n">
        <v>58</v>
      </c>
      <c r="D23" s="4" t="inlineStr">
        <is>
          <t>2#6 Al</t>
        </is>
      </c>
      <c r="E23" s="4" t="n">
        <v>13.29</v>
      </c>
      <c r="F23" s="4" t="n">
        <v>13.29</v>
      </c>
      <c r="G23" s="23" t="n">
        <v>0.01421</v>
      </c>
      <c r="H23" s="24">
        <f>2*C23*B23/($B$4*F23*$B$6)</f>
        <v/>
      </c>
      <c r="I23" s="23">
        <f>H23/$B$6</f>
        <v/>
      </c>
      <c r="J23" s="4">
        <f>IF(I23&gt;$B$7,"NO CUMPLE","CUMPLE")</f>
        <v/>
      </c>
      <c r="K23" s="23">
        <f>I23+$I$11</f>
        <v/>
      </c>
      <c r="L23" s="4">
        <f>IF(K23&gt;$B$8,"NO CUMPLE","CUMPLE")</f>
        <v/>
      </c>
      <c r="M23" s="4" t="n"/>
      <c r="N23" s="23" t="n"/>
      <c r="O23" s="4" t="inlineStr"/>
    </row>
  </sheetData>
  <conditionalFormatting sqref="J11:J23">
    <cfRule type="cellIs" priority="1" operator="equal" dxfId="0">
      <formula>"NO CUMPLE"</formula>
    </cfRule>
    <cfRule type="cellIs" priority="2" operator="equal" dxfId="1">
      <formula>"CUMPLE"</formula>
    </cfRule>
  </conditionalFormatting>
  <conditionalFormatting sqref="L11:L23">
    <cfRule type="cellIs" priority="3" operator="equal" dxfId="0">
      <formula>"NO CUMPLE"</formula>
    </cfRule>
    <cfRule type="cellIs" priority="4" operator="equal" dxfId="1">
      <formula>"CUMPLE"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59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de la revisión eléctrica</t>
        </is>
      </c>
    </row>
    <row r="2" ht="22" customHeight="1">
      <c r="D2" s="2" t="inlineStr">
        <is>
          <t>Proyecto: Unidad Deportiva de Bayunca – Contrato 1376-2025 Lote 2. Columnas amarillas: seguimiento (contratista / interventoría).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 t="inlineStr">
        <is>
          <t>OBS-001</t>
        </is>
      </c>
      <c r="B5" s="4" t="inlineStr">
        <is>
          <t>Documentación</t>
        </is>
      </c>
      <c r="C5" s="4" t="inlineStr">
        <is>
          <t>Planos 01 y 02 (Stand Iluminaciones)</t>
        </is>
      </c>
      <c r="D5" s="4" t="inlineStr">
        <is>
          <t>Rótulo de planos</t>
        </is>
      </c>
      <c r="E5" s="4" t="inlineStr">
        <is>
          <t>Incumplimiento normativo</t>
        </is>
      </c>
      <c r="F5" s="4" t="inlineStr">
        <is>
          <t>Los planos de iluminación no tienen firma del diseñador ni matrícula profesional. Son un diseño comercial del proveedor y traen la nota "revalidar el diseño antes de la orden de pedido".</t>
        </is>
      </c>
      <c r="G5" s="4" t="inlineStr">
        <is>
          <t>Firma del diseñador: vacía</t>
        </is>
      </c>
      <c r="H5" s="4" t="inlineStr">
        <is>
          <t>Nota: revalidar antes de pedido</t>
        </is>
      </c>
      <c r="I5" s="4" t="inlineStr">
        <is>
          <t>RETIE vigente: diseño por profesional competente con matrícula</t>
        </is>
      </c>
      <c r="J5" s="4" t="inlineStr">
        <is>
          <t>Alta</t>
        </is>
      </c>
      <c r="K5" s="17" t="n"/>
      <c r="L5" s="4" t="inlineStr">
        <is>
          <t>Presentar diseño y memoria firmados por ingeniero electricista con matrícula profesional vigente, con revalidación del diseño.</t>
        </is>
      </c>
      <c r="M5" s="15" t="n"/>
      <c r="N5" s="25" t="n"/>
      <c r="O5" s="15" t="inlineStr">
        <is>
          <t>Abierta</t>
        </is>
      </c>
      <c r="P5" s="25" t="n"/>
      <c r="Q5" s="15" t="n"/>
      <c r="R5" s="15" t="n"/>
    </row>
    <row r="6">
      <c r="A6" s="4" t="inlineStr">
        <is>
          <t>OBS-002</t>
        </is>
      </c>
      <c r="B6" s="4" t="inlineStr">
        <is>
          <t>Documentación</t>
        </is>
      </c>
      <c r="C6" s="4" t="inlineStr">
        <is>
          <t>Planos 01/02, informe DIALux, Excel acta</t>
        </is>
      </c>
      <c r="D6" s="4" t="inlineStr">
        <is>
          <t>Fecha de planos</t>
        </is>
      </c>
      <c r="E6" s="4" t="inlineStr">
        <is>
          <t>Verificar</t>
        </is>
      </c>
      <c r="F6" s="4" t="inlineStr">
        <is>
          <t>Planos e informe tienen fecha 23-09-2026, tres días antes de la terminación contractual (26-09-2026). Hay que aclarar si el diseño se aprobó antes de comprar o instalar.</t>
        </is>
      </c>
      <c r="G6" s="4" t="inlineStr">
        <is>
          <t>Planos: 23-09-2026</t>
        </is>
      </c>
      <c r="H6" s="4" t="inlineStr">
        <is>
          <t>Terminación contractual: 26-09-2026</t>
        </is>
      </c>
      <c r="I6" s="4" t="inlineStr">
        <is>
          <t>Contrato 1376-2025 / procedimiento de modificaciones</t>
        </is>
      </c>
      <c r="J6" s="4" t="inlineStr">
        <is>
          <t>Media</t>
        </is>
      </c>
      <c r="K6" s="17" t="n"/>
      <c r="L6" s="4" t="inlineStr">
        <is>
          <t>Aportar acta o aprobación de la interventoría y del IDER que respalde la adopción del diseño y la fecha de aprobación.</t>
        </is>
      </c>
      <c r="M6" s="15" t="n"/>
      <c r="N6" s="25" t="n"/>
      <c r="O6" s="15" t="inlineStr">
        <is>
          <t>Abierta</t>
        </is>
      </c>
      <c r="P6" s="25" t="n"/>
      <c r="Q6" s="15" t="n"/>
      <c r="R6" s="15" t="n"/>
    </row>
    <row r="7">
      <c r="A7" s="4" t="inlineStr">
        <is>
          <t>OBS-003</t>
        </is>
      </c>
      <c r="B7" s="4" t="inlineStr">
        <is>
          <t>Documentación</t>
        </is>
      </c>
      <c r="C7" s="4" t="inlineStr">
        <is>
          <t>Informe DIALux</t>
        </is>
      </c>
      <c r="D7" s="4" t="inlineStr">
        <is>
          <t>Cancha de Fútbol 9</t>
        </is>
      </c>
      <c r="E7" s="4" t="inlineStr">
        <is>
          <t>Información faltante</t>
        </is>
      </c>
      <c r="F7" s="4" t="inlineStr">
        <is>
          <t>No se presentó el informe de iluminación de la cancha de Fútbol 9 (32 × 480 W, 4 mástiles de 22 m).</t>
        </is>
      </c>
      <c r="G7" s="4" t="inlineStr">
        <is>
          <t>Informe presentado: solo Múltiple</t>
        </is>
      </c>
      <c r="H7" s="4" t="inlineStr">
        <is>
          <t>Plano 01: Fútbol 9</t>
        </is>
      </c>
      <c r="I7" s="4" t="inlineStr">
        <is>
          <t>RETILAP vigente</t>
        </is>
      </c>
      <c r="J7" s="4" t="inlineStr">
        <is>
          <t>Alta</t>
        </is>
      </c>
      <c r="K7" s="17" t="n"/>
      <c r="L7" s="4" t="inlineStr">
        <is>
          <t>Presentar informe DIALux de Fútbol 9 con posiciones, alturas, orientación, Em, uniformidad y deslumbramiento.</t>
        </is>
      </c>
      <c r="M7" s="15" t="n"/>
      <c r="N7" s="25" t="n"/>
      <c r="O7" s="15" t="inlineStr">
        <is>
          <t>Abierta</t>
        </is>
      </c>
      <c r="P7" s="25" t="n"/>
      <c r="Q7" s="15" t="n"/>
      <c r="R7" s="15" t="n"/>
    </row>
    <row r="8">
      <c r="A8" s="4" t="inlineStr">
        <is>
          <t>OBS-004</t>
        </is>
      </c>
      <c r="B8" s="4" t="inlineStr">
        <is>
          <t>Documentación</t>
        </is>
      </c>
      <c r="C8" s="4" t="inlineStr">
        <is>
          <t>Unifilar, cálculo, Excel</t>
        </is>
      </c>
      <c r="D8" s="4" t="inlineStr">
        <is>
          <t>Cancha de Fútbol 6</t>
        </is>
      </c>
      <c r="E8" s="4" t="inlineStr">
        <is>
          <t>Información faltante</t>
        </is>
      </c>
      <c r="F8" s="4" t="inlineStr">
        <is>
          <t>Existe circuito en unifilar y alimentador en el balance (IN14.10), pero no hay plano ni informe de iluminación de Fútbol 6.</t>
        </is>
      </c>
      <c r="G8" s="4" t="inlineStr">
        <is>
          <t>Unifilar: circuito Fútbol 6 (≈1,7 kW)</t>
        </is>
      </c>
      <c r="H8" s="4" t="inlineStr">
        <is>
          <t>Planos: ninguno</t>
        </is>
      </c>
      <c r="I8" s="4" t="inlineStr">
        <is>
          <t>RETILAP vigente</t>
        </is>
      </c>
      <c r="J8" s="4" t="inlineStr">
        <is>
          <t>Alta</t>
        </is>
      </c>
      <c r="K8" s="17" t="n"/>
      <c r="L8" s="4" t="inlineStr">
        <is>
          <t>Presentar plano e informe de iluminación de Fútbol 6 o aclarar el alcance de esa cancha.</t>
        </is>
      </c>
      <c r="M8" s="15" t="n"/>
      <c r="N8" s="25" t="n"/>
      <c r="O8" s="15" t="inlineStr">
        <is>
          <t>Abierta</t>
        </is>
      </c>
      <c r="P8" s="25" t="n"/>
      <c r="Q8" s="15" t="n"/>
      <c r="R8" s="15" t="n"/>
    </row>
    <row r="9">
      <c r="A9" s="4" t="inlineStr">
        <is>
          <t>OBS-005</t>
        </is>
      </c>
      <c r="B9" s="4" t="inlineStr">
        <is>
          <t>Documentación</t>
        </is>
      </c>
      <c r="C9" s="4" t="inlineStr">
        <is>
          <t>Informe DIALux</t>
        </is>
      </c>
      <c r="D9" s="4" t="inlineStr">
        <is>
          <t>Fotometría</t>
        </is>
      </c>
      <c r="E9" s="4" t="inlineStr">
        <is>
          <t>Información faltante</t>
        </is>
      </c>
      <c r="F9" s="4" t="inlineStr">
        <is>
          <t>La luminaria usa fotometría "definida por el usuario". No hay archivos LDT/IES ni informe de laboratorio del modelo exacto.</t>
        </is>
      </c>
      <c r="G9" s="4" t="inlineStr">
        <is>
          <t>Informe: "Definido por el usuario"</t>
        </is>
      </c>
      <c r="H9" s="4" t="inlineStr">
        <is>
          <t>No se aportó certificado</t>
        </is>
      </c>
      <c r="I9" s="4" t="inlineStr">
        <is>
          <t>RETILAP vigente: certificado de conformidad del producto</t>
        </is>
      </c>
      <c r="J9" s="4" t="inlineStr">
        <is>
          <t>Media</t>
        </is>
      </c>
      <c r="K9" s="17" t="n"/>
      <c r="L9" s="4" t="inlineStr">
        <is>
          <t>Entregar LDT/IES, certificados RETILAP y fichas técnicas del modelo instalado.</t>
        </is>
      </c>
      <c r="M9" s="15" t="n"/>
      <c r="N9" s="25" t="n"/>
      <c r="O9" s="15" t="inlineStr">
        <is>
          <t>Abierta</t>
        </is>
      </c>
      <c r="P9" s="25" t="n"/>
      <c r="Q9" s="15" t="n"/>
      <c r="R9" s="15" t="n"/>
    </row>
    <row r="10">
      <c r="A10" s="4" t="inlineStr">
        <is>
          <t>OBS-006</t>
        </is>
      </c>
      <c r="B10" s="4" t="inlineStr">
        <is>
          <t>Documentación</t>
        </is>
      </c>
      <c r="C10" s="4" t="inlineStr">
        <is>
          <t>DXF, cálculo</t>
        </is>
      </c>
      <c r="D10" s="4" t="inlineStr">
        <is>
          <t>Tableros TB-CM-ADM, TB-GT, TBGCI</t>
        </is>
      </c>
      <c r="E10" s="4" t="inlineStr">
        <is>
          <t>Información faltante</t>
        </is>
      </c>
      <c r="F10" s="4" t="inlineStr">
        <is>
          <t>Faltan unifilares y cuadros de carga de los tableros de camerinos, garita y GFCI.</t>
        </is>
      </c>
      <c r="G10" s="4" t="inlineStr">
        <is>
          <t>DXF: rótulos de tableros</t>
        </is>
      </c>
      <c r="H10" s="4" t="inlineStr">
        <is>
          <t>No hay diagramas</t>
        </is>
      </c>
      <c r="I10" s="4" t="inlineStr">
        <is>
          <t>NTC 2050 / RETIE vigente: cuadros de carga y protecciones</t>
        </is>
      </c>
      <c r="J10" s="4" t="inlineStr">
        <is>
          <t>Media</t>
        </is>
      </c>
      <c r="K10" s="17" t="n"/>
      <c r="L10" s="4" t="inlineStr">
        <is>
          <t>Presentar unifilares y cuadros de carga de cada tablero.</t>
        </is>
      </c>
      <c r="M10" s="15" t="n"/>
      <c r="N10" s="25" t="n"/>
      <c r="O10" s="15" t="inlineStr">
        <is>
          <t>Abierta</t>
        </is>
      </c>
      <c r="P10" s="25" t="n"/>
      <c r="Q10" s="15" t="n"/>
      <c r="R10" s="15" t="n"/>
    </row>
    <row r="11">
      <c r="A11" s="4" t="inlineStr">
        <is>
          <t>OBS-007</t>
        </is>
      </c>
      <c r="B11" s="4" t="inlineStr">
        <is>
          <t>Iluminación (diseño)</t>
        </is>
      </c>
      <c r="C11" s="4" t="inlineStr">
        <is>
          <t>Plano 01, DXF, cálculo, Excel</t>
        </is>
      </c>
      <c r="D11" s="4" t="inlineStr">
        <is>
          <t>IN16.18 / Fútbol 9</t>
        </is>
      </c>
      <c r="E11" s="4" t="inlineStr">
        <is>
          <t>Discrepancia</t>
        </is>
      </c>
      <c r="F11" s="4" t="inlineStr">
        <is>
          <t>La cantidad coincide (32), pero el balance cobra proyectores de 820 W y el diseño usa 480 W (4G 45°).</t>
        </is>
      </c>
      <c r="G11" s="4" t="inlineStr">
        <is>
          <t>Balance: 32 × 820 W</t>
        </is>
      </c>
      <c r="H11" s="4" t="inlineStr">
        <is>
          <t>Plano/DXF/cálculo: 32 × 480 W</t>
        </is>
      </c>
      <c r="I11" s="4" t="inlineStr">
        <is>
          <t>Contrato / especificaciones técnicas</t>
        </is>
      </c>
      <c r="J11" s="4" t="inlineStr">
        <is>
          <t>Alta</t>
        </is>
      </c>
      <c r="K11" s="17">
        <f>Balance_Cantidades!K5</f>
        <v/>
      </c>
      <c r="L11" s="4" t="inlineStr">
        <is>
          <t>Aclarar la referencia a instalar. Si se instala 480 W, ajustar el valor del ítem. Si es 820 W, aportar diseño que lo respalde.</t>
        </is>
      </c>
      <c r="M11" s="15" t="n"/>
      <c r="N11" s="25" t="n"/>
      <c r="O11" s="15" t="inlineStr">
        <is>
          <t>Abierta</t>
        </is>
      </c>
      <c r="P11" s="25" t="n"/>
      <c r="Q11" s="15" t="n"/>
      <c r="R11" s="15" t="n"/>
    </row>
    <row r="12">
      <c r="A12" s="4" t="inlineStr">
        <is>
          <t>OBS-008</t>
        </is>
      </c>
      <c r="B12" s="4" t="inlineStr">
        <is>
          <t>Iluminación (diseño)</t>
        </is>
      </c>
      <c r="C12" s="4" t="inlineStr">
        <is>
          <t>Plano 01, DXF, cálculo</t>
        </is>
      </c>
      <c r="D12" s="4" t="inlineStr">
        <is>
          <t>Fútbol 9</t>
        </is>
      </c>
      <c r="E12" s="4" t="inlineStr">
        <is>
          <t>Concordancia</t>
        </is>
      </c>
      <c r="F12" s="4" t="inlineStr">
        <is>
          <t>32 proyectores de 480 W en 4 mástiles de 22 m (8 por mástil), 3,84 kW por mástil. Coinciden plano, DXF y cálculo de regulación.</t>
        </is>
      </c>
      <c r="G12" s="4" t="inlineStr">
        <is>
          <t>Plano: 32</t>
        </is>
      </c>
      <c r="H12" s="4" t="inlineStr">
        <is>
          <t>DXF: 32; cálculo: 4 × 3.840 W</t>
        </is>
      </c>
      <c r="I12" s="4" t="inlineStr">
        <is>
          <t>—</t>
        </is>
      </c>
      <c r="J12" s="4" t="inlineStr">
        <is>
          <t>Baja</t>
        </is>
      </c>
      <c r="K12" s="17" t="n"/>
      <c r="L12" s="4" t="inlineStr">
        <is>
          <t>Sin acción.</t>
        </is>
      </c>
      <c r="M12" s="15" t="n"/>
      <c r="N12" s="25" t="n"/>
      <c r="O12" s="15" t="inlineStr">
        <is>
          <t>No aplica</t>
        </is>
      </c>
      <c r="P12" s="25" t="n"/>
      <c r="Q12" s="15" t="n"/>
      <c r="R12" s="15" t="n"/>
    </row>
    <row r="13">
      <c r="A13" s="4" t="inlineStr">
        <is>
          <t>OBS-009</t>
        </is>
      </c>
      <c r="B13" s="4" t="inlineStr">
        <is>
          <t>Iluminación (diseño)</t>
        </is>
      </c>
      <c r="C13" s="4" t="inlineStr">
        <is>
          <t>Excel, plano 01</t>
        </is>
      </c>
      <c r="D13" s="4" t="inlineStr">
        <is>
          <t>IN14.21</t>
        </is>
      </c>
      <c r="E13" s="4" t="inlineStr">
        <is>
          <t>Discrepancia</t>
        </is>
      </c>
      <c r="F13" s="4" t="inlineStr">
        <is>
          <t>El ítem dice capacidad para 10 reflectores a igual precio que el 4.47 retirado (capacidad 8). El diseño usa 8 por mástil.</t>
        </is>
      </c>
      <c r="G13" s="4" t="inlineStr">
        <is>
          <t>Balance: 10 reflectores</t>
        </is>
      </c>
      <c r="H13" s="4" t="inlineStr">
        <is>
          <t>Plano: 8 por mástil</t>
        </is>
      </c>
      <c r="I13" s="4" t="inlineStr">
        <is>
          <t>Contrato</t>
        </is>
      </c>
      <c r="J13" s="4" t="inlineStr">
        <is>
          <t>Media</t>
        </is>
      </c>
      <c r="K13" s="17" t="n"/>
      <c r="L13" s="4" t="inlineStr">
        <is>
          <t>Justificar el cambio de capacidad o corregir la descripción y el valor.</t>
        </is>
      </c>
      <c r="M13" s="15" t="n"/>
      <c r="N13" s="25" t="n"/>
      <c r="O13" s="15" t="inlineStr">
        <is>
          <t>Abierta</t>
        </is>
      </c>
      <c r="P13" s="25" t="n"/>
      <c r="Q13" s="15" t="n"/>
      <c r="R13" s="15" t="n"/>
    </row>
    <row r="14">
      <c r="A14" s="4" t="inlineStr">
        <is>
          <t>OBS-010</t>
        </is>
      </c>
      <c r="B14" s="4" t="inlineStr">
        <is>
          <t>Iluminación (diseño)</t>
        </is>
      </c>
      <c r="C14" s="4" t="inlineStr">
        <is>
          <t>Plano 01, DXF, cálculo, Excel</t>
        </is>
      </c>
      <c r="D14" s="4" t="inlineStr">
        <is>
          <t>IN14.21 / cantidad</t>
        </is>
      </c>
      <c r="E14" s="4" t="inlineStr">
        <is>
          <t>Concordancia</t>
        </is>
      </c>
      <c r="F14" s="4" t="inlineStr">
        <is>
          <t>Cuatro mástiles de 22 m coinciden entre balance, plano, DXF y cálculo.</t>
        </is>
      </c>
      <c r="G14" s="4" t="inlineStr">
        <is>
          <t>Balance: 4</t>
        </is>
      </c>
      <c r="H14" s="4" t="inlineStr">
        <is>
          <t>Plano: 4</t>
        </is>
      </c>
      <c r="I14" s="4" t="inlineStr">
        <is>
          <t>—</t>
        </is>
      </c>
      <c r="J14" s="4" t="inlineStr">
        <is>
          <t>Baja</t>
        </is>
      </c>
      <c r="K14" s="17" t="n"/>
      <c r="L14" s="4" t="inlineStr">
        <is>
          <t>Sin acción.</t>
        </is>
      </c>
      <c r="M14" s="15" t="n"/>
      <c r="N14" s="25" t="n"/>
      <c r="O14" s="15" t="inlineStr">
        <is>
          <t>No aplica</t>
        </is>
      </c>
      <c r="P14" s="25" t="n"/>
      <c r="Q14" s="15" t="n"/>
      <c r="R14" s="15" t="n"/>
    </row>
    <row r="15">
      <c r="A15" s="4" t="inlineStr">
        <is>
          <t>OBS-011</t>
        </is>
      </c>
      <c r="B15" s="4" t="inlineStr">
        <is>
          <t>Iluminación (diseño)</t>
        </is>
      </c>
      <c r="C15" s="4" t="inlineStr">
        <is>
          <t>Excel, plano 02, informe DIALux, cálculo</t>
        </is>
      </c>
      <c r="D15" s="4" t="inlineStr">
        <is>
          <t>IN16.19 / Múltiple y Fútbol 6</t>
        </is>
      </c>
      <c r="E15" s="4" t="inlineStr">
        <is>
          <t>Discrepancia</t>
        </is>
      </c>
      <c r="F15" s="4" t="inlineStr">
        <is>
          <t>El balance incluye 46 proyectores de 450 W. Ningún plano, informe, cálculo ni unifilar los respalda: el plano y el informe muestran 6 × 160 W y el cálculo 18 × 160 W.</t>
        </is>
      </c>
      <c r="G15" s="4" t="inlineStr">
        <is>
          <t>Balance: 46 × 450 W (20,7 kW)</t>
        </is>
      </c>
      <c r="H15" s="4" t="inlineStr">
        <is>
          <t>Plano/informe: 6 × 160 W (0,92 kW)</t>
        </is>
      </c>
      <c r="I15" s="4" t="inlineStr">
        <is>
          <t>Contrato / diseño aprobado</t>
        </is>
      </c>
      <c r="J15" s="4" t="inlineStr">
        <is>
          <t>Alta</t>
        </is>
      </c>
      <c r="K15" s="17">
        <f>Balance_Cantidades!K6</f>
        <v/>
      </c>
      <c r="L15" s="4" t="inlineStr">
        <is>
          <t>Presentar el diseño que respalde 46 proyectores de 450 W o retirar el excedente del balance.</t>
        </is>
      </c>
      <c r="M15" s="15" t="n"/>
      <c r="N15" s="25" t="n"/>
      <c r="O15" s="15" t="inlineStr">
        <is>
          <t>Abierta</t>
        </is>
      </c>
      <c r="P15" s="25" t="n"/>
      <c r="Q15" s="15" t="n"/>
      <c r="R15" s="15" t="n"/>
    </row>
    <row r="16">
      <c r="A16" s="4" t="inlineStr">
        <is>
          <t>OBS-012</t>
        </is>
      </c>
      <c r="B16" s="4" t="inlineStr">
        <is>
          <t>Iluminación (diseño)</t>
        </is>
      </c>
      <c r="C16" s="4" t="inlineStr">
        <is>
          <t>Excel, plano 02, DXF, cálculo, unifilar</t>
        </is>
      </c>
      <c r="D16" s="4" t="inlineStr">
        <is>
          <t>IN14.20 / postes de 12 m</t>
        </is>
      </c>
      <c r="E16" s="4" t="inlineStr">
        <is>
          <t>Discrepancia</t>
        </is>
      </c>
      <c r="F16" s="4" t="inlineStr">
        <is>
          <t>Postes de 12 m con cuatro cifras distintas: balance 8, tabla del plano 4, dibujados 2 (DXF confirma 2 grupos de 3), cálculo 6 y unifilar 2 circuitos.</t>
        </is>
      </c>
      <c r="G16" s="4" t="inlineStr">
        <is>
          <t>Balance: 8</t>
        </is>
      </c>
      <c r="H16" s="4" t="inlineStr">
        <is>
          <t>Plano: 4 (tabla) / 2 (dibujados); cálculo: 6</t>
        </is>
      </c>
      <c r="I16" s="4" t="inlineStr">
        <is>
          <t>Contrato / diseño</t>
        </is>
      </c>
      <c r="J16" s="4" t="inlineStr">
        <is>
          <t>Alta</t>
        </is>
      </c>
      <c r="K16" s="17">
        <f>Balance_Cantidades!K7</f>
        <v/>
      </c>
      <c r="L16" s="4" t="inlineStr">
        <is>
          <t>Unificar el número de postes en todos los documentos y ajustar el balance al diseño aprobado.</t>
        </is>
      </c>
      <c r="M16" s="15" t="n"/>
      <c r="N16" s="25" t="n"/>
      <c r="O16" s="15" t="inlineStr">
        <is>
          <t>Abierta</t>
        </is>
      </c>
      <c r="P16" s="25" t="n"/>
      <c r="Q16" s="15" t="n"/>
      <c r="R16" s="15" t="n"/>
    </row>
    <row r="17">
      <c r="A17" s="4" t="inlineStr">
        <is>
          <t>OBS-013</t>
        </is>
      </c>
      <c r="B17" s="4" t="inlineStr">
        <is>
          <t>Iluminación (diseño)</t>
        </is>
      </c>
      <c r="C17" s="4" t="inlineStr">
        <is>
          <t>Excel</t>
        </is>
      </c>
      <c r="D17" s="4" t="inlineStr">
        <is>
          <t>IN14.20 vs IN16.19</t>
        </is>
      </c>
      <c r="E17" s="4" t="inlineStr">
        <is>
          <t>Discrepancia</t>
        </is>
      </c>
      <c r="F17" s="4" t="inlineStr">
        <is>
          <t>El propio balance es inconsistente: 8 postes × 4 reflectores = 32 de capacidad, pero se compran 46 proyectores.</t>
        </is>
      </c>
      <c r="G17" s="4" t="inlineStr">
        <is>
          <t>Capacidad: 32</t>
        </is>
      </c>
      <c r="H17" s="4" t="inlineStr">
        <is>
          <t>Compra: 46</t>
        </is>
      </c>
      <c r="I17" s="4" t="inlineStr">
        <is>
          <t>Coherencia interna del balance</t>
        </is>
      </c>
      <c r="J17" s="4" t="inlineStr">
        <is>
          <t>Media</t>
        </is>
      </c>
      <c r="K17" s="17" t="n"/>
      <c r="L17" s="4" t="inlineStr">
        <is>
          <t>Corregir cantidades o capacidad.</t>
        </is>
      </c>
      <c r="M17" s="15" t="n"/>
      <c r="N17" s="25" t="n"/>
      <c r="O17" s="15" t="inlineStr">
        <is>
          <t>Abierta</t>
        </is>
      </c>
      <c r="P17" s="25" t="n"/>
      <c r="Q17" s="15" t="n"/>
      <c r="R17" s="15" t="n"/>
    </row>
    <row r="18">
      <c r="A18" s="4" t="inlineStr">
        <is>
          <t>OBS-014</t>
        </is>
      </c>
      <c r="B18" s="4" t="inlineStr">
        <is>
          <t>Balance / Actas</t>
        </is>
      </c>
      <c r="C18" s="4" t="inlineStr">
        <is>
          <t>Excel</t>
        </is>
      </c>
      <c r="D18" s="4" t="inlineStr">
        <is>
          <t>4.44 Orientación</t>
        </is>
      </c>
      <c r="E18" s="4" t="inlineStr">
        <is>
          <t>Discrepancia</t>
        </is>
      </c>
      <c r="F18" s="4" t="inlineStr">
        <is>
          <t>Se pagan 78 orientaciones de proyectores (32 + 46) cuando el diseño tiene 38.</t>
        </is>
      </c>
      <c r="G18" s="4" t="inlineStr">
        <is>
          <t>Balance: 78</t>
        </is>
      </c>
      <c r="H18" s="4" t="inlineStr">
        <is>
          <t>Plano: 38</t>
        </is>
      </c>
      <c r="I18" s="4" t="inlineStr">
        <is>
          <t>Contrato</t>
        </is>
      </c>
      <c r="J18" s="4" t="inlineStr">
        <is>
          <t>Media</t>
        </is>
      </c>
      <c r="K18" s="17">
        <f>Balance_Cantidades!K11</f>
        <v/>
      </c>
      <c r="L18" s="4" t="inlineStr">
        <is>
          <t>Ajustar cantidad de orientaciones.</t>
        </is>
      </c>
      <c r="M18" s="15" t="n"/>
      <c r="N18" s="25" t="n"/>
      <c r="O18" s="15" t="inlineStr">
        <is>
          <t>Abierta</t>
        </is>
      </c>
      <c r="P18" s="25" t="n"/>
      <c r="Q18" s="15" t="n"/>
      <c r="R18" s="15" t="n"/>
    </row>
    <row r="19">
      <c r="A19" s="4" t="inlineStr">
        <is>
          <t>OBS-015</t>
        </is>
      </c>
      <c r="B19" s="4" t="inlineStr">
        <is>
          <t>Balance / Actas</t>
        </is>
      </c>
      <c r="C19" s="4" t="inlineStr">
        <is>
          <t>Excel, plano</t>
        </is>
      </c>
      <c r="D19" s="4" t="inlineStr">
        <is>
          <t>4.29 Apantallamiento</t>
        </is>
      </c>
      <c r="E19" s="4" t="inlineStr">
        <is>
          <t>Discrepancia</t>
        </is>
      </c>
      <c r="F19" s="4" t="inlineStr">
        <is>
          <t>El balance pasa a 10 sistemas de apantallamiento, pero hay 8 postes/mástiles según plano (6 si se cuentan solo 2 postes del múltiple).</t>
        </is>
      </c>
      <c r="G19" s="4" t="inlineStr">
        <is>
          <t>Balance: 10</t>
        </is>
      </c>
      <c r="H19" s="4" t="inlineStr">
        <is>
          <t>Plano: 8</t>
        </is>
      </c>
      <c r="I19" s="4" t="inlineStr">
        <is>
          <t>RETIE vigente: evaluación de riesgo por rayos</t>
        </is>
      </c>
      <c r="J19" s="4" t="inlineStr">
        <is>
          <t>Media</t>
        </is>
      </c>
      <c r="K19" s="17">
        <f>Balance_Cantidades!K12</f>
        <v/>
      </c>
      <c r="L19" s="4" t="inlineStr">
        <is>
          <t>Justificar con evaluación de riesgo por rayos y número real de postes.</t>
        </is>
      </c>
      <c r="M19" s="15" t="n"/>
      <c r="N19" s="25" t="n"/>
      <c r="O19" s="15" t="inlineStr">
        <is>
          <t>Abierta</t>
        </is>
      </c>
      <c r="P19" s="25" t="n"/>
      <c r="Q19" s="15" t="n"/>
      <c r="R19" s="15" t="n"/>
    </row>
    <row r="20">
      <c r="A20" s="4" t="inlineStr">
        <is>
          <t>OBS-016</t>
        </is>
      </c>
      <c r="B20" s="4" t="inlineStr">
        <is>
          <t>Balance / Actas</t>
        </is>
      </c>
      <c r="C20" s="4" t="inlineStr">
        <is>
          <t>Excel, plano</t>
        </is>
      </c>
      <c r="D20" s="4" t="inlineStr">
        <is>
          <t>4.25 Cajas de abonado</t>
        </is>
      </c>
      <c r="E20" s="4" t="inlineStr">
        <is>
          <t>Discrepancia</t>
        </is>
      </c>
      <c r="F20" s="4" t="inlineStr">
        <is>
          <t>Se pasan de 4 a 10 cajas de abonado, y solo hay 8 postes/mástiles en la tabla de los planos.</t>
        </is>
      </c>
      <c r="G20" s="4" t="inlineStr">
        <is>
          <t>Balance: 10</t>
        </is>
      </c>
      <c r="H20" s="4" t="inlineStr">
        <is>
          <t>Plano: 8</t>
        </is>
      </c>
      <c r="I20" s="4" t="inlineStr">
        <is>
          <t>Contrato</t>
        </is>
      </c>
      <c r="J20" s="4" t="inlineStr">
        <is>
          <t>Baja</t>
        </is>
      </c>
      <c r="K20" s="17">
        <f>Balance_Cantidades!K13</f>
        <v/>
      </c>
      <c r="L20" s="4" t="inlineStr">
        <is>
          <t>Ajustar cantidad.</t>
        </is>
      </c>
      <c r="M20" s="15" t="n"/>
      <c r="N20" s="25" t="n"/>
      <c r="O20" s="15" t="inlineStr">
        <is>
          <t>Abierta</t>
        </is>
      </c>
      <c r="P20" s="25" t="n"/>
      <c r="Q20" s="15" t="n"/>
      <c r="R20" s="15" t="n"/>
    </row>
    <row r="21">
      <c r="A21" s="4" t="inlineStr">
        <is>
          <t>OBS-017</t>
        </is>
      </c>
      <c r="B21" s="4" t="inlineStr">
        <is>
          <t>Balance / Actas</t>
        </is>
      </c>
      <c r="C21" s="4" t="inlineStr">
        <is>
          <t>Excel</t>
        </is>
      </c>
      <c r="D21" s="4" t="inlineStr">
        <is>
          <t>Luminaria solar 60 W (sin código)</t>
        </is>
      </c>
      <c r="E21" s="4" t="inlineStr">
        <is>
          <t>Discrepancia</t>
        </is>
      </c>
      <c r="F21" s="4" t="inlineStr">
        <is>
          <t>Se incluyen 30 luminarias solares sin ítem de contrato, sin plano ni diseño, con unidad "UMD".</t>
        </is>
      </c>
      <c r="G21" s="4" t="inlineStr">
        <is>
          <t>Balance: 30</t>
        </is>
      </c>
      <c r="H21" s="4" t="inlineStr">
        <is>
          <t>Planos: 0</t>
        </is>
      </c>
      <c r="I21" s="4" t="inlineStr">
        <is>
          <t>Contrato / procedimiento de ítems nuevos</t>
        </is>
      </c>
      <c r="J21" s="4" t="inlineStr">
        <is>
          <t>Alta</t>
        </is>
      </c>
      <c r="K21" s="17">
        <f>Balance_Cantidades!K9</f>
        <v/>
      </c>
      <c r="L21" s="4" t="inlineStr">
        <is>
          <t>Presentar diseño, ubicación y análisis de precios, o retirar el ítem.</t>
        </is>
      </c>
      <c r="M21" s="15" t="n"/>
      <c r="N21" s="25" t="n"/>
      <c r="O21" s="15" t="inlineStr">
        <is>
          <t>Abierta</t>
        </is>
      </c>
      <c r="P21" s="25" t="n"/>
      <c r="Q21" s="15" t="n"/>
      <c r="R21" s="15" t="n"/>
    </row>
    <row r="22">
      <c r="A22" s="4" t="inlineStr">
        <is>
          <t>OBS-018</t>
        </is>
      </c>
      <c r="B22" s="4" t="inlineStr">
        <is>
          <t>Balance / Actas</t>
        </is>
      </c>
      <c r="C22" s="4" t="inlineStr">
        <is>
          <t>Excel</t>
        </is>
      </c>
      <c r="D22" s="4" t="inlineStr">
        <is>
          <t>Poste solar 5 m (sin código)</t>
        </is>
      </c>
      <c r="E22" s="4" t="inlineStr">
        <is>
          <t>Discrepancia</t>
        </is>
      </c>
      <c r="F22" s="4" t="inlineStr">
        <is>
          <t>Se incluyen 30 postes metálicos de 5 m para luminarias solares sin diseño que los respalde.</t>
        </is>
      </c>
      <c r="G22" s="4" t="inlineStr">
        <is>
          <t>Balance: 30</t>
        </is>
      </c>
      <c r="H22" s="4" t="inlineStr">
        <is>
          <t>Planos: 0</t>
        </is>
      </c>
      <c r="I22" s="4" t="inlineStr">
        <is>
          <t>Contrato</t>
        </is>
      </c>
      <c r="J22" s="4" t="inlineStr">
        <is>
          <t>Alta</t>
        </is>
      </c>
      <c r="K22" s="17">
        <f>Balance_Cantidades!K10</f>
        <v/>
      </c>
      <c r="L22" s="4" t="inlineStr">
        <is>
          <t>Igual que el ítem anterior.</t>
        </is>
      </c>
      <c r="M22" s="15" t="n"/>
      <c r="N22" s="25" t="n"/>
      <c r="O22" s="15" t="inlineStr">
        <is>
          <t>Abierta</t>
        </is>
      </c>
      <c r="P22" s="25" t="n"/>
      <c r="Q22" s="15" t="n"/>
      <c r="R22" s="15" t="n"/>
    </row>
    <row r="23">
      <c r="A23" s="4" t="inlineStr">
        <is>
          <t>OBS-019</t>
        </is>
      </c>
      <c r="B23" s="4" t="inlineStr">
        <is>
          <t>Balance / Actas</t>
        </is>
      </c>
      <c r="C23" s="4" t="inlineStr">
        <is>
          <t>Excel</t>
        </is>
      </c>
      <c r="D23" s="4" t="inlineStr">
        <is>
          <t>Celda J313</t>
        </is>
      </c>
      <c r="E23" s="4" t="inlineStr">
        <is>
          <t>Discrepancia</t>
        </is>
      </c>
      <c r="F23" s="4" t="inlineStr">
        <is>
          <t>La celda J313 (=J308+J307) suma solo los mástiles ($446,1 M) y se presenta como subtotal. No es el total de IN14.</t>
        </is>
      </c>
      <c r="G23" s="4" t="inlineStr">
        <is>
          <t>J313 = 446.074.546</t>
        </is>
      </c>
      <c r="H23" s="4" t="inlineStr">
        <is>
          <t>Suma de líneas IN14 ≈ 1.468 M</t>
        </is>
      </c>
      <c r="I23" s="4" t="inlineStr">
        <is>
          <t>Control de acta</t>
        </is>
      </c>
      <c r="J23" s="4" t="inlineStr">
        <is>
          <t>Media</t>
        </is>
      </c>
      <c r="K23" s="17" t="n"/>
      <c r="L23" s="4" t="inlineStr">
        <is>
          <t>Corregir las fórmulas y presentar un subtotal de IN14 que incluya todas las líneas.</t>
        </is>
      </c>
      <c r="M23" s="15" t="n"/>
      <c r="N23" s="25" t="n"/>
      <c r="O23" s="15" t="inlineStr">
        <is>
          <t>Abierta</t>
        </is>
      </c>
      <c r="P23" s="25" t="n"/>
      <c r="Q23" s="15" t="n"/>
      <c r="R23" s="15" t="n"/>
    </row>
    <row r="24">
      <c r="A24" s="4" t="inlineStr">
        <is>
          <t>OBS-020</t>
        </is>
      </c>
      <c r="B24" s="4" t="inlineStr">
        <is>
          <t>Balance / Actas</t>
        </is>
      </c>
      <c r="C24" s="4" t="inlineStr">
        <is>
          <t>Excel</t>
        </is>
      </c>
      <c r="D24" s="4" t="inlineStr">
        <is>
          <t>Numeración y unidades</t>
        </is>
      </c>
      <c r="E24" s="4" t="inlineStr">
        <is>
          <t>Discrepancia</t>
        </is>
      </c>
      <c r="F24" s="4" t="inlineStr">
        <is>
          <t>IN16.18 e IN16.19 deberían ser IN14.18 e IN14.19. IN14.11 no tiene unidad, IN14.19 tiene la unidad en otra columna, hay un 817,2 suelto en la fila 292 y ítems sin código.</t>
        </is>
      </c>
      <c r="G24" s="4" t="inlineStr">
        <is>
          <t>IN16.x</t>
        </is>
      </c>
      <c r="H24" s="4" t="inlineStr">
        <is>
          <t>IN14.x</t>
        </is>
      </c>
      <c r="I24" s="4" t="inlineStr">
        <is>
          <t>Control de acta</t>
        </is>
      </c>
      <c r="J24" s="4" t="inlineStr">
        <is>
          <t>Baja</t>
        </is>
      </c>
      <c r="K24" s="17" t="n"/>
      <c r="L24" s="4" t="inlineStr">
        <is>
          <t>Corregir codificación y formato del acta.</t>
        </is>
      </c>
      <c r="M24" s="15" t="n"/>
      <c r="N24" s="25" t="n"/>
      <c r="O24" s="15" t="inlineStr">
        <is>
          <t>Abierta</t>
        </is>
      </c>
      <c r="P24" s="25" t="n"/>
      <c r="Q24" s="15" t="n"/>
      <c r="R24" s="15" t="n"/>
    </row>
    <row r="25">
      <c r="A25" s="4" t="inlineStr">
        <is>
          <t>OBS-021</t>
        </is>
      </c>
      <c r="B25" s="4" t="inlineStr">
        <is>
          <t>Balance / Actas</t>
        </is>
      </c>
      <c r="C25" s="4" t="inlineStr">
        <is>
          <t>DXF, Excel</t>
        </is>
      </c>
      <c r="D25" s="4" t="inlineStr">
        <is>
          <t>Postes existentes de 11 m</t>
        </is>
      </c>
      <c r="E25" s="4" t="inlineStr">
        <is>
          <t>Verificar</t>
        </is>
      </c>
      <c r="F25" s="4" t="inlineStr">
        <is>
          <t>El DXF muestra 6 postes existentes de 11 m con cruceta. El ítem 1.4 (desmonte de postes eléctricos) pasa de 9 a 0.</t>
        </is>
      </c>
      <c r="G25" s="4" t="inlineStr">
        <is>
          <t>DXF: 6 existentes</t>
        </is>
      </c>
      <c r="H25" s="4" t="inlineStr">
        <is>
          <t>Balance 1.4: 0</t>
        </is>
      </c>
      <c r="I25" s="4" t="inlineStr">
        <is>
          <t>Contrato</t>
        </is>
      </c>
      <c r="J25" s="4" t="inlineStr">
        <is>
          <t>Media</t>
        </is>
      </c>
      <c r="K25" s="17" t="n"/>
      <c r="L25" s="4" t="inlineStr">
        <is>
          <t>Aclarar qué postes se retiran y cuáles se conservan.</t>
        </is>
      </c>
      <c r="M25" s="15" t="n"/>
      <c r="N25" s="25" t="n"/>
      <c r="O25" s="15" t="inlineStr">
        <is>
          <t>Abierta</t>
        </is>
      </c>
      <c r="P25" s="25" t="n"/>
      <c r="Q25" s="15" t="n"/>
      <c r="R25" s="15" t="n"/>
    </row>
    <row r="26">
      <c r="A26" s="4" t="inlineStr">
        <is>
          <t>OBS-022</t>
        </is>
      </c>
      <c r="B26" s="4" t="inlineStr">
        <is>
          <t>Iluminación (diseño)</t>
        </is>
      </c>
      <c r="C26" s="4" t="inlineStr">
        <is>
          <t>Plano 02, informe DIALux</t>
        </is>
      </c>
      <c r="D26" s="4" t="inlineStr">
        <is>
          <t>Cancha Múltiple</t>
        </is>
      </c>
      <c r="E26" s="4" t="inlineStr">
        <is>
          <t>Concordancia</t>
        </is>
      </c>
      <c r="F26" s="4" t="inlineStr">
        <is>
          <t>6 luminarias de 160 W (153,3 W reales; 919,5 W en total) coinciden entre plano e informe.</t>
        </is>
      </c>
      <c r="G26" s="4" t="inlineStr">
        <is>
          <t>Plano: 6 × 160 W</t>
        </is>
      </c>
      <c r="H26" s="4" t="inlineStr">
        <is>
          <t>Informe: 6 × 153,3 W</t>
        </is>
      </c>
      <c r="I26" s="4" t="inlineStr">
        <is>
          <t>—</t>
        </is>
      </c>
      <c r="J26" s="4" t="inlineStr">
        <is>
          <t>Baja</t>
        </is>
      </c>
      <c r="K26" s="17" t="n"/>
      <c r="L26" s="4" t="inlineStr">
        <is>
          <t>Sin acción.</t>
        </is>
      </c>
      <c r="M26" s="15" t="n"/>
      <c r="N26" s="25" t="n"/>
      <c r="O26" s="15" t="inlineStr">
        <is>
          <t>No aplica</t>
        </is>
      </c>
      <c r="P26" s="25" t="n"/>
      <c r="Q26" s="15" t="n"/>
      <c r="R26" s="15" t="n"/>
    </row>
    <row r="27">
      <c r="A27" s="4" t="inlineStr">
        <is>
          <t>OBS-023</t>
        </is>
      </c>
      <c r="B27" s="4" t="inlineStr">
        <is>
          <t>Iluminación (diseño)</t>
        </is>
      </c>
      <c r="C27" s="4" t="inlineStr">
        <is>
          <t>Informe DIALux</t>
        </is>
      </c>
      <c r="D27" s="4" t="inlineStr">
        <is>
          <t>Múltiple – resultados</t>
        </is>
      </c>
      <c r="E27" s="4" t="inlineStr">
        <is>
          <t>Verificar</t>
        </is>
      </c>
      <c r="F27" s="4" t="inlineStr">
        <is>
          <t>Em = 128 lx, Emin = 63 lx, Emin/Em = 0,49. Cumple un nivel recreativo (referencia EN 12193 Clase III), pero no la Clase II (200 lx, 0,5).</t>
        </is>
      </c>
      <c r="G27" s="4" t="inlineStr">
        <is>
          <t>Em 128 lx</t>
        </is>
      </c>
      <c r="H27" s="4" t="inlineStr">
        <is>
          <t>Requisito del contrato / RETILAP</t>
        </is>
      </c>
      <c r="I27" s="4" t="inlineStr">
        <is>
          <t>RETILAP vigente: tabla de baloncesto y múltiple</t>
        </is>
      </c>
      <c r="J27" s="4" t="inlineStr">
        <is>
          <t>Media</t>
        </is>
      </c>
      <c r="K27" s="17" t="n"/>
      <c r="L27" s="4" t="inlineStr">
        <is>
          <t>Confirmar la categoría exigida por el contrato y demostrar su cumplimiento.</t>
        </is>
      </c>
      <c r="M27" s="15" t="n"/>
      <c r="N27" s="25" t="n"/>
      <c r="O27" s="15" t="inlineStr">
        <is>
          <t>Abierta</t>
        </is>
      </c>
      <c r="P27" s="25" t="n"/>
      <c r="Q27" s="15" t="n"/>
      <c r="R27" s="15" t="n"/>
    </row>
    <row r="28">
      <c r="A28" s="4" t="inlineStr">
        <is>
          <t>OBS-024</t>
        </is>
      </c>
      <c r="B28" s="4" t="inlineStr">
        <is>
          <t>Iluminación (diseño)</t>
        </is>
      </c>
      <c r="C28" s="4" t="inlineStr">
        <is>
          <t>Informe DIALux</t>
        </is>
      </c>
      <c r="D28" s="4" t="inlineStr">
        <is>
          <t>Isolíneas página 8</t>
        </is>
      </c>
      <c r="E28" s="4" t="inlineStr">
        <is>
          <t>Discrepancia</t>
        </is>
      </c>
      <c r="F28" s="4" t="inlineStr">
        <is>
          <t>La distribución es desigual: 180 lx en el centro y 90 lx o menos bajo los aros. Los dos postes están en el centro de las bandas laterales.</t>
        </is>
      </c>
      <c r="G28" s="4" t="inlineStr">
        <is>
          <t>Máx. 204 lx</t>
        </is>
      </c>
      <c r="H28" s="4" t="inlineStr">
        <is>
          <t>Mín. 63 lx bajo los aros</t>
        </is>
      </c>
      <c r="I28" s="4" t="inlineStr">
        <is>
          <t>RETILAP vigente</t>
        </is>
      </c>
      <c r="J28" s="4" t="inlineStr">
        <is>
          <t>Media</t>
        </is>
      </c>
      <c r="K28" s="17" t="n"/>
      <c r="L28" s="4" t="inlineStr">
        <is>
          <t>Optimizar ubicación u orientación o justificar el nivel en zonas de juego.</t>
        </is>
      </c>
      <c r="M28" s="15" t="n"/>
      <c r="N28" s="25" t="n"/>
      <c r="O28" s="15" t="inlineStr">
        <is>
          <t>Abierta</t>
        </is>
      </c>
      <c r="P28" s="25" t="n"/>
      <c r="Q28" s="15" t="n"/>
      <c r="R28" s="15" t="n"/>
    </row>
    <row r="29">
      <c r="A29" s="4" t="inlineStr">
        <is>
          <t>OBS-025</t>
        </is>
      </c>
      <c r="B29" s="4" t="inlineStr">
        <is>
          <t>Iluminación (diseño)</t>
        </is>
      </c>
      <c r="C29" s="4" t="inlineStr">
        <is>
          <t>Informe DIALux</t>
        </is>
      </c>
      <c r="D29" s="4" t="inlineStr">
        <is>
          <t>Datos de planificación</t>
        </is>
      </c>
      <c r="E29" s="4" t="inlineStr">
        <is>
          <t>Información faltante</t>
        </is>
      </c>
      <c r="F29" s="4" t="inlineStr">
        <is>
          <t>El informe no da posición, altura, inclinación ni orientación de las luminarias. El factor de mantenimiento 0,90 es optimista para exterior y no está justificado.</t>
        </is>
      </c>
      <c r="G29" s="4" t="inlineStr">
        <is>
          <t>Mf = 0,90</t>
        </is>
      </c>
      <c r="H29" s="4" t="inlineStr">
        <is>
          <t>Sin tabla de montaje</t>
        </is>
      </c>
      <c r="I29" s="4" t="inlineStr">
        <is>
          <t>RETILAP vigente</t>
        </is>
      </c>
      <c r="J29" s="4" t="inlineStr">
        <is>
          <t>Media</t>
        </is>
      </c>
      <c r="K29" s="17" t="n"/>
      <c r="L29" s="4" t="inlineStr">
        <is>
          <t>Completar el informe con tabla de montaje y justificación del factor de mantenimiento.</t>
        </is>
      </c>
      <c r="M29" s="15" t="n"/>
      <c r="N29" s="25" t="n"/>
      <c r="O29" s="15" t="inlineStr">
        <is>
          <t>Abierta</t>
        </is>
      </c>
      <c r="P29" s="25" t="n"/>
      <c r="Q29" s="15" t="n"/>
      <c r="R29" s="15" t="n"/>
    </row>
    <row r="30">
      <c r="A30" s="4" t="inlineStr">
        <is>
          <t>OBS-026</t>
        </is>
      </c>
      <c r="B30" s="4" t="inlineStr">
        <is>
          <t>Iluminación (diseño)</t>
        </is>
      </c>
      <c r="C30" s="4" t="inlineStr">
        <is>
          <t>Informe DIALux, plano 02</t>
        </is>
      </c>
      <c r="D30" s="4" t="inlineStr">
        <is>
          <t>Designación</t>
        </is>
      </c>
      <c r="E30" s="4" t="inlineStr">
        <is>
          <t>Verificar</t>
        </is>
      </c>
      <c r="F30" s="4" t="inlineStr">
        <is>
          <t>El informe nombra "Exterior High Bay IP66 3-G 160W 60°" y el plano "Proyector STIL LED 3G (2 módulos) 160W". Confirmar que es el mismo producto certificado.</t>
        </is>
      </c>
      <c r="G30" s="4" t="inlineStr">
        <is>
          <t>Informe: High Bay</t>
        </is>
      </c>
      <c r="H30" s="4" t="inlineStr">
        <is>
          <t>Plano: Proyector</t>
        </is>
      </c>
      <c r="I30" s="4" t="inlineStr">
        <is>
          <t>RETILAP vigente: certificación del producto</t>
        </is>
      </c>
      <c r="J30" s="4" t="inlineStr">
        <is>
          <t>Baja</t>
        </is>
      </c>
      <c r="K30" s="17" t="n"/>
      <c r="L30" s="4" t="inlineStr">
        <is>
          <t>Aclarar con ficha técnica y certificado.</t>
        </is>
      </c>
      <c r="M30" s="15" t="n"/>
      <c r="N30" s="25" t="n"/>
      <c r="O30" s="15" t="inlineStr">
        <is>
          <t>Abierta</t>
        </is>
      </c>
      <c r="P30" s="25" t="n"/>
      <c r="Q30" s="15" t="n"/>
      <c r="R30" s="15" t="n"/>
    </row>
    <row r="31">
      <c r="A31" s="4" t="inlineStr">
        <is>
          <t>OBS-027</t>
        </is>
      </c>
      <c r="B31" s="4" t="inlineStr">
        <is>
          <t>Cálculo de regulación</t>
        </is>
      </c>
      <c r="C31" s="4" t="inlineStr">
        <is>
          <t>Cuadro de regulación</t>
        </is>
      </c>
      <c r="D31" s="4" t="inlineStr">
        <is>
          <t>Fórmula ΔV</t>
        </is>
      </c>
      <c r="E31" s="4" t="inlineStr">
        <is>
          <t>Incumplimiento normativo</t>
        </is>
      </c>
      <c r="F31" s="4" t="inlineStr">
        <is>
          <t>La fórmula usa conductividad γ = 56 (cobre) para cables de aluminio S8000 (γ ≈ 35). Las caídas están subestimadas entre un 60 y un 65 %.</t>
        </is>
      </c>
      <c r="G31" s="4" t="inlineStr">
        <is>
          <t>Hoja: γ = 56</t>
        </is>
      </c>
      <c r="H31" s="4" t="inlineStr">
        <is>
          <t>Aluminio: γ ≈ 35</t>
        </is>
      </c>
      <c r="I31" s="4" t="inlineStr">
        <is>
          <t>NTC 2050 Cap. 9 Tabla 9 (resistencia de conductores)</t>
        </is>
      </c>
      <c r="J31" s="4" t="inlineStr">
        <is>
          <t>Alta</t>
        </is>
      </c>
      <c r="K31" s="17" t="n"/>
      <c r="L31" s="4" t="inlineStr">
        <is>
          <t>Recalcular con resistencia del aluminio (incluyendo reactancia) y reemitir el cuadro de regulación.</t>
        </is>
      </c>
      <c r="M31" s="15" t="n"/>
      <c r="N31" s="25" t="n"/>
      <c r="O31" s="15" t="inlineStr">
        <is>
          <t>Abierta</t>
        </is>
      </c>
      <c r="P31" s="25" t="n"/>
      <c r="Q31" s="15" t="n"/>
      <c r="R31" s="15" t="n"/>
    </row>
    <row r="32">
      <c r="A32" s="4" t="inlineStr">
        <is>
          <t>OBS-028</t>
        </is>
      </c>
      <c r="B32" s="4" t="inlineStr">
        <is>
          <t>Cálculo de regulación</t>
        </is>
      </c>
      <c r="C32" s="4" t="inlineStr">
        <is>
          <t>Cuadro de regulación</t>
        </is>
      </c>
      <c r="D32" s="4" t="inlineStr">
        <is>
          <t>Mástil 1</t>
        </is>
      </c>
      <c r="E32" s="4" t="inlineStr">
        <is>
          <t>Incumplimiento normativo</t>
        </is>
      </c>
      <c r="F32" s="4" t="inlineStr">
        <is>
          <t>Se usa S = 68 mm² para el #4 Al (real 21,14 mm²). Recalculado: 4,18 % en el alimentador, frente al 0,81 % reportado y por encima del 3 %.</t>
        </is>
      </c>
      <c r="G32" s="4" t="inlineStr">
        <is>
          <t>Hoja: 0,81 %</t>
        </is>
      </c>
      <c r="H32" s="4" t="inlineStr">
        <is>
          <t>Recalculado: 4,18 %</t>
        </is>
      </c>
      <c r="I32" s="4" t="inlineStr">
        <is>
          <t>NTC 2050 210-19 y 215-2 (3 % / 5 %)</t>
        </is>
      </c>
      <c r="J32" s="4" t="inlineStr">
        <is>
          <t>Alta</t>
        </is>
      </c>
      <c r="K32" s="17" t="n"/>
      <c r="L32" s="4" t="inlineStr">
        <is>
          <t>Aumentar calibre (≥ #2 Al) o reubicar el tablero, y recalcular.</t>
        </is>
      </c>
      <c r="M32" s="15" t="n"/>
      <c r="N32" s="25" t="n"/>
      <c r="O32" s="15" t="inlineStr">
        <is>
          <t>Abierta</t>
        </is>
      </c>
      <c r="P32" s="25" t="n"/>
      <c r="Q32" s="15" t="n"/>
      <c r="R32" s="15" t="n"/>
    </row>
    <row r="33">
      <c r="A33" s="4" t="inlineStr">
        <is>
          <t>OBS-029</t>
        </is>
      </c>
      <c r="B33" s="4" t="inlineStr">
        <is>
          <t>Cálculo de regulación</t>
        </is>
      </c>
      <c r="C33" s="4" t="inlineStr">
        <is>
          <t>Cuadro de regulación</t>
        </is>
      </c>
      <c r="D33" s="4" t="inlineStr">
        <is>
          <t>Mástil 2</t>
        </is>
      </c>
      <c r="E33" s="4" t="inlineStr">
        <is>
          <t>Incumplimiento normativo</t>
        </is>
      </c>
      <c r="F33" s="4" t="inlineStr">
        <is>
          <t>Recalculado con γ de aluminio: 3,44 % (hoja: 2,15 %), por encima del 3 %.</t>
        </is>
      </c>
      <c r="G33" s="4" t="inlineStr">
        <is>
          <t>Hoja: 2,15 %</t>
        </is>
      </c>
      <c r="H33" s="4" t="inlineStr">
        <is>
          <t>Recalculado: 3,44 %</t>
        </is>
      </c>
      <c r="I33" s="4" t="inlineStr">
        <is>
          <t>NTC 2050 210-19 y 215-2</t>
        </is>
      </c>
      <c r="J33" s="4" t="inlineStr">
        <is>
          <t>Alta</t>
        </is>
      </c>
      <c r="K33" s="17" t="n"/>
      <c r="L33" s="4" t="inlineStr">
        <is>
          <t>Igual que Mástil 1.</t>
        </is>
      </c>
      <c r="M33" s="15" t="n"/>
      <c r="N33" s="25" t="n"/>
      <c r="O33" s="15" t="inlineStr">
        <is>
          <t>Abierta</t>
        </is>
      </c>
      <c r="P33" s="25" t="n"/>
      <c r="Q33" s="15" t="n"/>
      <c r="R33" s="15" t="n"/>
    </row>
    <row r="34">
      <c r="A34" s="4" t="inlineStr">
        <is>
          <t>OBS-030</t>
        </is>
      </c>
      <c r="B34" s="4" t="inlineStr">
        <is>
          <t>Cálculo de regulación</t>
        </is>
      </c>
      <c r="C34" s="4" t="inlineStr">
        <is>
          <t>Cuadro de regulación</t>
        </is>
      </c>
      <c r="D34" s="4" t="inlineStr">
        <is>
          <t>Transformador (350 MCM)</t>
        </is>
      </c>
      <c r="E34" s="4" t="inlineStr">
        <is>
          <t>Discrepancia</t>
        </is>
      </c>
      <c r="F34" s="4" t="inlineStr">
        <is>
          <t>Se usa 202 mm² para 350 MCM (la tabla de la misma hoja da 177,34 mm²). Efecto menor (tramo de 15 m).</t>
        </is>
      </c>
      <c r="G34" s="4" t="inlineStr">
        <is>
          <t>Hoja: 202 mm²</t>
        </is>
      </c>
      <c r="H34" s="4" t="inlineStr">
        <is>
          <t>Tabla: 177,34 mm²</t>
        </is>
      </c>
      <c r="I34" s="4" t="inlineStr">
        <is>
          <t>NTC 2050 Cap. 9</t>
        </is>
      </c>
      <c r="J34" s="4" t="inlineStr">
        <is>
          <t>Baja</t>
        </is>
      </c>
      <c r="K34" s="17" t="n"/>
      <c r="L34" s="4" t="inlineStr">
        <is>
          <t>Corregir la sección.</t>
        </is>
      </c>
      <c r="M34" s="15" t="n"/>
      <c r="N34" s="25" t="n"/>
      <c r="O34" s="15" t="inlineStr">
        <is>
          <t>Abierta</t>
        </is>
      </c>
      <c r="P34" s="25" t="n"/>
      <c r="Q34" s="15" t="n"/>
      <c r="R34" s="15" t="n"/>
    </row>
    <row r="35">
      <c r="A35" s="4" t="inlineStr">
        <is>
          <t>OBS-031</t>
        </is>
      </c>
      <c r="B35" s="4" t="inlineStr">
        <is>
          <t>Cálculo de regulación</t>
        </is>
      </c>
      <c r="C35" s="4" t="inlineStr">
        <is>
          <t>Cuadro de regulación, unifilar</t>
        </is>
      </c>
      <c r="D35" s="4" t="inlineStr">
        <is>
          <t>Carga del transformador</t>
        </is>
      </c>
      <c r="E35" s="4" t="inlineStr">
        <is>
          <t>Discrepancia</t>
        </is>
      </c>
      <c r="F35" s="4" t="inlineStr">
        <is>
          <t>La carga del transformador es su capacidad (50000 × 0,9 = 45 kW), no una demanda calculada. La suma real de cargas es 32,2 kW y la reserva rotulada es 14 kW (46,2 kW en total, sobre los 45 kW).</t>
        </is>
      </c>
      <c r="G35" s="4" t="inlineStr">
        <is>
          <t>Hoja: 45 kW</t>
        </is>
      </c>
      <c r="H35" s="4" t="inlineStr">
        <is>
          <t>Suma de cargas: 32,2 kW + 14 kW reserva</t>
        </is>
      </c>
      <c r="I35" s="4" t="inlineStr">
        <is>
          <t>NTC 2050: cálculo de carga; RETIE vigente</t>
        </is>
      </c>
      <c r="J35" s="4" t="inlineStr">
        <is>
          <t>Media</t>
        </is>
      </c>
      <c r="K35" s="17" t="n"/>
      <c r="L35" s="4" t="inlineStr">
        <is>
          <t>Presentar cuadro de cargas con factores de demanda y comprobar la capacidad del transformador.</t>
        </is>
      </c>
      <c r="M35" s="15" t="n"/>
      <c r="N35" s="25" t="n"/>
      <c r="O35" s="15" t="inlineStr">
        <is>
          <t>Abierta</t>
        </is>
      </c>
      <c r="P35" s="25" t="n"/>
      <c r="Q35" s="15" t="n"/>
      <c r="R35" s="15" t="n"/>
    </row>
    <row r="36">
      <c r="A36" s="4" t="inlineStr">
        <is>
          <t>OBS-032</t>
        </is>
      </c>
      <c r="B36" s="4" t="inlineStr">
        <is>
          <t>Cálculo de regulación</t>
        </is>
      </c>
      <c r="C36" s="4" t="inlineStr">
        <is>
          <t>Cuadro de regulación, unifilar</t>
        </is>
      </c>
      <c r="D36" s="4" t="inlineStr">
        <is>
          <t>Postes de 12 m</t>
        </is>
      </c>
      <c r="E36" s="4" t="inlineStr">
        <is>
          <t>Discrepancia</t>
        </is>
      </c>
      <c r="F36" s="4" t="inlineStr">
        <is>
          <t>El cálculo tiene 6 circuitos de postes de 12 m (20 A, 480 W). El unifilar tiene solo 2 circuitos de cancha y el plano 2 o 4 postes.</t>
        </is>
      </c>
      <c r="G36" s="4" t="inlineStr">
        <is>
          <t>Cálculo: 6 circuitos</t>
        </is>
      </c>
      <c r="H36" s="4" t="inlineStr">
        <is>
          <t>Unifilar: 2 circuitos</t>
        </is>
      </c>
      <c r="I36" s="4" t="inlineStr">
        <is>
          <t>Coherencia de diseño</t>
        </is>
      </c>
      <c r="J36" s="4" t="inlineStr">
        <is>
          <t>Alta</t>
        </is>
      </c>
      <c r="K36" s="17" t="n"/>
      <c r="L36" s="4" t="inlineStr">
        <is>
          <t>Unificar cálculo, unifilar y planos.</t>
        </is>
      </c>
      <c r="M36" s="15" t="n"/>
      <c r="N36" s="25" t="n"/>
      <c r="O36" s="15" t="inlineStr">
        <is>
          <t>Abierta</t>
        </is>
      </c>
      <c r="P36" s="25" t="n"/>
      <c r="Q36" s="15" t="n"/>
      <c r="R36" s="15" t="n"/>
    </row>
    <row r="37">
      <c r="A37" s="4" t="inlineStr">
        <is>
          <t>OBS-033</t>
        </is>
      </c>
      <c r="B37" s="4" t="inlineStr">
        <is>
          <t>Cálculo de regulación</t>
        </is>
      </c>
      <c r="C37" s="4" t="inlineStr">
        <is>
          <t>Cálculo, unifilar, DXF, ductería</t>
        </is>
      </c>
      <c r="D37" s="4" t="inlineStr">
        <is>
          <t>Conductor de tierra de mástiles</t>
        </is>
      </c>
      <c r="E37" s="4" t="inlineStr">
        <is>
          <t>Discrepancia</t>
        </is>
      </c>
      <c r="F37" s="4" t="inlineStr">
        <is>
          <t>Unifilar y DXF: tierra #4. Cuadro de regulación: #6. Ductería: #4 en los mástiles 1 a 3 y #6 en el 4.</t>
        </is>
      </c>
      <c r="G37" s="4" t="inlineStr">
        <is>
          <t>Cálculo: #6</t>
        </is>
      </c>
      <c r="H37" s="4" t="inlineStr">
        <is>
          <t>Unifilar/DXF: #4</t>
        </is>
      </c>
      <c r="I37" s="4" t="inlineStr">
        <is>
          <t>NTC 2050 250-122 (tamaño del conductor de puesta a tierra de equipos)</t>
        </is>
      </c>
      <c r="J37" s="4" t="inlineStr">
        <is>
          <t>Media</t>
        </is>
      </c>
      <c r="K37" s="17" t="n"/>
      <c r="L37" s="4" t="inlineStr">
        <is>
          <t>Unificar calibres de tierra.</t>
        </is>
      </c>
      <c r="M37" s="15" t="n"/>
      <c r="N37" s="25" t="n"/>
      <c r="O37" s="15" t="inlineStr">
        <is>
          <t>Abierta</t>
        </is>
      </c>
      <c r="P37" s="25" t="n"/>
      <c r="Q37" s="15" t="n"/>
      <c r="R37" s="15" t="n"/>
    </row>
    <row r="38">
      <c r="A38" s="4" t="inlineStr">
        <is>
          <t>OBS-034</t>
        </is>
      </c>
      <c r="B38" s="4" t="inlineStr">
        <is>
          <t>Cálculo de regulación</t>
        </is>
      </c>
      <c r="C38" s="4" t="inlineStr">
        <is>
          <t>Hoja Ductería</t>
        </is>
      </c>
      <c r="D38" s="4" t="inlineStr">
        <is>
          <t>Columna "Material"</t>
        </is>
      </c>
      <c r="E38" s="4" t="inlineStr">
        <is>
          <t>Discrepancia</t>
        </is>
      </c>
      <c r="F38" s="4" t="inlineStr">
        <is>
          <t>Aparecen "THWN-3" a "THWN-8" por arrastre de fórmula en filas 15 a 20.</t>
        </is>
      </c>
      <c r="G38" s="4" t="inlineStr">
        <is>
          <t>Ductería: THWN-3…8</t>
        </is>
      </c>
      <c r="H38" s="4" t="inlineStr">
        <is>
          <t>Esperado: THWN-2</t>
        </is>
      </c>
      <c r="I38" s="4" t="inlineStr">
        <is>
          <t>Calidad de la memoria</t>
        </is>
      </c>
      <c r="J38" s="4" t="inlineStr">
        <is>
          <t>Baja</t>
        </is>
      </c>
      <c r="K38" s="17" t="n"/>
      <c r="L38" s="4" t="inlineStr">
        <is>
          <t>Corregir.</t>
        </is>
      </c>
      <c r="M38" s="15" t="n"/>
      <c r="N38" s="25" t="n"/>
      <c r="O38" s="15" t="inlineStr">
        <is>
          <t>Abierta</t>
        </is>
      </c>
      <c r="P38" s="25" t="n"/>
      <c r="Q38" s="15" t="n"/>
      <c r="R38" s="15" t="n"/>
    </row>
    <row r="39">
      <c r="A39" s="4" t="inlineStr">
        <is>
          <t>OBS-035</t>
        </is>
      </c>
      <c r="B39" s="4" t="inlineStr">
        <is>
          <t>Tableros y protecciones</t>
        </is>
      </c>
      <c r="C39" s="4" t="inlineStr">
        <is>
          <t>Cuadro de regulación, unifilar</t>
        </is>
      </c>
      <c r="D39" s="4" t="inlineStr">
        <is>
          <t>TB-Camerinos</t>
        </is>
      </c>
      <c r="E39" s="4" t="inlineStr">
        <is>
          <t>Incumplimiento normativo</t>
        </is>
      </c>
      <c r="F39" s="4" t="inlineStr">
        <is>
          <t>La corriente calculada es 40,4 A y la protección es 2 × 40 A: la protección queda por debajo de la corriente de carga (125 % en cargas continuas).</t>
        </is>
      </c>
      <c r="G39" s="4" t="inlineStr">
        <is>
          <t>I = 40,4 A</t>
        </is>
      </c>
      <c r="H39" s="4" t="inlineStr">
        <is>
          <t>Breaker: 40 A</t>
        </is>
      </c>
      <c r="I39" s="4" t="inlineStr">
        <is>
          <t>NTC 2050 210-20 y 215-3</t>
        </is>
      </c>
      <c r="J39" s="4" t="inlineStr">
        <is>
          <t>Media</t>
        </is>
      </c>
      <c r="K39" s="17" t="n"/>
      <c r="L39" s="4" t="inlineStr">
        <is>
          <t>Redimensionar protección y calibre.</t>
        </is>
      </c>
      <c r="M39" s="15" t="n"/>
      <c r="N39" s="25" t="n"/>
      <c r="O39" s="15" t="inlineStr">
        <is>
          <t>Abierta</t>
        </is>
      </c>
      <c r="P39" s="25" t="n"/>
      <c r="Q39" s="15" t="n"/>
      <c r="R39" s="15" t="n"/>
    </row>
    <row r="40">
      <c r="A40" s="4" t="inlineStr">
        <is>
          <t>OBS-036</t>
        </is>
      </c>
      <c r="B40" s="4" t="inlineStr">
        <is>
          <t>Cálculo de regulación</t>
        </is>
      </c>
      <c r="C40" s="4" t="inlineStr">
        <is>
          <t>Excel, cálculo</t>
        </is>
      </c>
      <c r="D40" s="4" t="inlineStr">
        <is>
          <t>IN14.11 alimentador mástiles</t>
        </is>
      </c>
      <c r="E40" s="4" t="inlineStr">
        <is>
          <t>Discrepancia</t>
        </is>
      </c>
      <c r="F40" s="4" t="inlineStr">
        <is>
          <t>El balance cobra 817,2 m y el cálculo da 673 m (incluye altura). El DXF mide unos 576 m (BT-05 sin trazado).</t>
        </is>
      </c>
      <c r="G40" s="4" t="inlineStr">
        <is>
          <t>Balance: 817,2 m</t>
        </is>
      </c>
      <c r="H40" s="4" t="inlineStr">
        <is>
          <t>Cálculo: 673 m</t>
        </is>
      </c>
      <c r="I40" s="4" t="inlineStr">
        <is>
          <t>Contrato</t>
        </is>
      </c>
      <c r="J40" s="4" t="inlineStr">
        <is>
          <t>Media</t>
        </is>
      </c>
      <c r="K40" s="17">
        <f>Balance_Cantidades!K14</f>
        <v/>
      </c>
      <c r="L40" s="4" t="inlineStr">
        <is>
          <t>Presentar plano de recorridos con metrajes por circuito.</t>
        </is>
      </c>
      <c r="M40" s="15" t="n"/>
      <c r="N40" s="25" t="n"/>
      <c r="O40" s="15" t="inlineStr">
        <is>
          <t>Abierta</t>
        </is>
      </c>
      <c r="P40" s="25" t="n"/>
      <c r="Q40" s="15" t="n"/>
      <c r="R40" s="15" t="n"/>
    </row>
    <row r="41">
      <c r="A41" s="4" t="inlineStr">
        <is>
          <t>OBS-037</t>
        </is>
      </c>
      <c r="B41" s="4" t="inlineStr">
        <is>
          <t>Cálculo de regulación</t>
        </is>
      </c>
      <c r="C41" s="4" t="inlineStr">
        <is>
          <t>Excel, cálculo, DXF</t>
        </is>
      </c>
      <c r="D41" s="4" t="inlineStr">
        <is>
          <t>IN14.10 alimentador canchas</t>
        </is>
      </c>
      <c r="E41" s="4" t="inlineStr">
        <is>
          <t>Discrepancia</t>
        </is>
      </c>
      <c r="F41" s="4" t="inlineStr">
        <is>
          <t>El balance cobra 486,8 m y el cálculo da 408 m (el DXF solo muestra unos 196 m).</t>
        </is>
      </c>
      <c r="G41" s="4" t="inlineStr">
        <is>
          <t>Balance: 486,8 m</t>
        </is>
      </c>
      <c r="H41" s="4" t="inlineStr">
        <is>
          <t>Cálculo: 408 m</t>
        </is>
      </c>
      <c r="I41" s="4" t="inlineStr">
        <is>
          <t>Contrato</t>
        </is>
      </c>
      <c r="J41" s="4" t="inlineStr">
        <is>
          <t>Media</t>
        </is>
      </c>
      <c r="K41" s="17">
        <f>Balance_Cantidades!K15</f>
        <v/>
      </c>
      <c r="L41" s="4" t="inlineStr">
        <is>
          <t>Presentar recorridos con metrajes por circuito.</t>
        </is>
      </c>
      <c r="M41" s="15" t="n"/>
      <c r="N41" s="25" t="n"/>
      <c r="O41" s="15" t="inlineStr">
        <is>
          <t>Abierta</t>
        </is>
      </c>
      <c r="P41" s="25" t="n"/>
      <c r="Q41" s="15" t="n"/>
      <c r="R41" s="15" t="n"/>
    </row>
    <row r="42">
      <c r="A42" s="4" t="inlineStr">
        <is>
          <t>OBS-038</t>
        </is>
      </c>
      <c r="B42" s="4" t="inlineStr">
        <is>
          <t>Cálculo de regulación</t>
        </is>
      </c>
      <c r="C42" s="4" t="inlineStr">
        <is>
          <t>Excel, cálculo</t>
        </is>
      </c>
      <c r="D42" s="4" t="inlineStr">
        <is>
          <t>IN14.7 / IN14.8 / IN14.9</t>
        </is>
      </c>
      <c r="E42" s="4" t="inlineStr">
        <is>
          <t>Discrepancia</t>
        </is>
      </c>
      <c r="F42" s="4" t="inlineStr">
        <is>
          <t>Longitudes de acometidas distintas entre balance y cálculo: transformador–TGD 27,6 vs 15 m, garita 64,8 vs 58 m, camerinos 4,8 vs 8 m.</t>
        </is>
      </c>
      <c r="G42" s="4" t="inlineStr">
        <is>
          <t>Balance: 27,6 / 64,8 / 4,8 m</t>
        </is>
      </c>
      <c r="H42" s="4" t="inlineStr">
        <is>
          <t>Cálculo: 15 / 58 / 8 m</t>
        </is>
      </c>
      <c r="I42" s="4" t="inlineStr">
        <is>
          <t>Contrato</t>
        </is>
      </c>
      <c r="J42" s="4" t="inlineStr">
        <is>
          <t>Baja</t>
        </is>
      </c>
      <c r="K42" s="17">
        <f>Balance_Cantidades!K16+Balance_Cantidades!K17</f>
        <v/>
      </c>
      <c r="L42" s="4" t="inlineStr">
        <is>
          <t>Conciliar longitudes con el plano de recorridos.</t>
        </is>
      </c>
      <c r="M42" s="15" t="n"/>
      <c r="N42" s="25" t="n"/>
      <c r="O42" s="15" t="inlineStr">
        <is>
          <t>Abierta</t>
        </is>
      </c>
      <c r="P42" s="25" t="n"/>
      <c r="Q42" s="15" t="n"/>
      <c r="R42" s="15" t="n"/>
    </row>
    <row r="43">
      <c r="A43" s="4" t="inlineStr">
        <is>
          <t>OBS-039</t>
        </is>
      </c>
      <c r="B43" s="4" t="inlineStr">
        <is>
          <t>Unifilar / MT / Medida</t>
        </is>
      </c>
      <c r="C43" s="4" t="inlineStr">
        <is>
          <t>Unifilar</t>
        </is>
      </c>
      <c r="D43" s="4" t="inlineStr">
        <is>
          <t>Punto de conexión</t>
        </is>
      </c>
      <c r="E43" s="4" t="inlineStr">
        <is>
          <t>Información faltante</t>
        </is>
      </c>
      <c r="F43" s="4" t="inlineStr">
        <is>
          <t>El punto de conexión de Afinia figura con tramo, circuito y subestación "PENDIENTE".</t>
        </is>
      </c>
      <c r="G43" s="4" t="inlineStr">
        <is>
          <t>Unifilar: PENDIENTE</t>
        </is>
      </c>
      <c r="H43" s="4" t="inlineStr">
        <is>
          <t>Ítem 4.1 se mantiene</t>
        </is>
      </c>
      <c r="I43" s="4" t="inlineStr">
        <is>
          <t>Requisitos del operador de red</t>
        </is>
      </c>
      <c r="J43" s="4" t="inlineStr">
        <is>
          <t>Alta</t>
        </is>
      </c>
      <c r="K43" s="17" t="n"/>
      <c r="L43" s="4" t="inlineStr">
        <is>
          <t>Entregar la factibilidad aprobada con el punto de conexión definido.</t>
        </is>
      </c>
      <c r="M43" s="15" t="n"/>
      <c r="N43" s="25" t="n"/>
      <c r="O43" s="15" t="inlineStr">
        <is>
          <t>Abierta</t>
        </is>
      </c>
      <c r="P43" s="25" t="n"/>
      <c r="Q43" s="15" t="n"/>
      <c r="R43" s="15" t="n"/>
    </row>
    <row r="44">
      <c r="A44" s="4" t="inlineStr">
        <is>
          <t>OBS-040</t>
        </is>
      </c>
      <c r="B44" s="4" t="inlineStr">
        <is>
          <t>Unifilar / MT / Medida</t>
        </is>
      </c>
      <c r="C44" s="4" t="inlineStr">
        <is>
          <t>Unifilar, Excel</t>
        </is>
      </c>
      <c r="D44" s="4" t="inlineStr">
        <is>
          <t>Transformador 50 kVA</t>
        </is>
      </c>
      <c r="E44" s="4" t="inlineStr">
        <is>
          <t>Discrepancia</t>
        </is>
      </c>
      <c r="F44" s="4" t="inlineStr">
        <is>
          <t>El unifilar muestra transformador tipo poste de 50 kVA. El 4.9 (100 kVA) se retiró y no hay ítem de reemplazo.</t>
        </is>
      </c>
      <c r="G44" s="4" t="inlineStr">
        <is>
          <t>Unifilar: 50 kVA</t>
        </is>
      </c>
      <c r="H44" s="4" t="inlineStr">
        <is>
          <t>Balance: 0</t>
        </is>
      </c>
      <c r="I44" s="4" t="inlineStr">
        <is>
          <t>Contrato</t>
        </is>
      </c>
      <c r="J44" s="4" t="inlineStr">
        <is>
          <t>Alta</t>
        </is>
      </c>
      <c r="K44" s="17">
        <f>Balance_Cantidades!K20</f>
        <v/>
      </c>
      <c r="L44" s="4" t="inlineStr">
        <is>
          <t>Aclarar quién suministra el transformador y, si lo hace el contratista, incluir el ítem.</t>
        </is>
      </c>
      <c r="M44" s="15" t="n"/>
      <c r="N44" s="25" t="n"/>
      <c r="O44" s="15" t="inlineStr">
        <is>
          <t>Abierta</t>
        </is>
      </c>
      <c r="P44" s="25" t="n"/>
      <c r="Q44" s="15" t="n"/>
      <c r="R44" s="15" t="n"/>
    </row>
    <row r="45">
      <c r="A45" s="4" t="inlineStr">
        <is>
          <t>OBS-041</t>
        </is>
      </c>
      <c r="B45" s="4" t="inlineStr">
        <is>
          <t>Unifilar / MT / Medida</t>
        </is>
      </c>
      <c r="C45" s="4" t="inlineStr">
        <is>
          <t>Unifilar, Excel</t>
        </is>
      </c>
      <c r="D45" s="4" t="inlineStr">
        <is>
          <t>Poste EPP007</t>
        </is>
      </c>
      <c r="E45" s="4" t="inlineStr">
        <is>
          <t>Discrepancia</t>
        </is>
      </c>
      <c r="F45" s="4" t="inlineStr">
        <is>
          <t>El unifilar tiene un segundo apoyo (EPP007) para el transformador. El ítem 4.5 de poste de concreto se retiró.</t>
        </is>
      </c>
      <c r="G45" s="4" t="inlineStr">
        <is>
          <t>Unifilar: EPP007</t>
        </is>
      </c>
      <c r="H45" s="4" t="inlineStr">
        <is>
          <t>Balance: 0</t>
        </is>
      </c>
      <c r="I45" s="4" t="inlineStr">
        <is>
          <t>Contrato</t>
        </is>
      </c>
      <c r="J45" s="4" t="inlineStr">
        <is>
          <t>Media</t>
        </is>
      </c>
      <c r="K45" s="17">
        <f>Balance_Cantidades!K21</f>
        <v/>
      </c>
      <c r="L45" s="4" t="inlineStr">
        <is>
          <t>Aclarar el apoyo y su ítem.</t>
        </is>
      </c>
      <c r="M45" s="15" t="n"/>
      <c r="N45" s="25" t="n"/>
      <c r="O45" s="15" t="inlineStr">
        <is>
          <t>Abierta</t>
        </is>
      </c>
      <c r="P45" s="25" t="n"/>
      <c r="Q45" s="15" t="n"/>
      <c r="R45" s="15" t="n"/>
    </row>
    <row r="46">
      <c r="A46" s="4" t="inlineStr">
        <is>
          <t>OBS-042</t>
        </is>
      </c>
      <c r="B46" s="4" t="inlineStr">
        <is>
          <t>Unifilar / MT / Medida</t>
        </is>
      </c>
      <c r="C46" s="4" t="inlineStr">
        <is>
          <t>Unifilar, Excel</t>
        </is>
      </c>
      <c r="D46" s="4" t="inlineStr">
        <is>
          <t>Red MT</t>
        </is>
      </c>
      <c r="E46" s="4" t="inlineStr">
        <is>
          <t>Discrepancia</t>
        </is>
      </c>
      <c r="F46" s="4" t="inlineStr">
        <is>
          <t>Unifilar: conductor 123,3 AAAC. Balance: ACSR 1/0 XLPE ecológico 2H (45 → 137 m). El vano EPP005–EPP007 no está acotado.</t>
        </is>
      </c>
      <c r="G46" s="4" t="inlineStr">
        <is>
          <t>Unifilar: AAAC 123,3</t>
        </is>
      </c>
      <c r="H46" s="4" t="inlineStr">
        <is>
          <t>Balance: ACSR 1/0 XLPE</t>
        </is>
      </c>
      <c r="I46" s="4" t="inlineStr">
        <is>
          <t>Norma del operador de red</t>
        </is>
      </c>
      <c r="J46" s="4" t="inlineStr">
        <is>
          <t>Media</t>
        </is>
      </c>
      <c r="K46" s="17" t="n"/>
      <c r="L46" s="4" t="inlineStr">
        <is>
          <t>Unificar el conductor y acotar los vanos.</t>
        </is>
      </c>
      <c r="M46" s="15" t="n"/>
      <c r="N46" s="25" t="n"/>
      <c r="O46" s="15" t="inlineStr">
        <is>
          <t>Abierta</t>
        </is>
      </c>
      <c r="P46" s="25" t="n"/>
      <c r="Q46" s="15" t="n"/>
      <c r="R46" s="15" t="n"/>
    </row>
    <row r="47">
      <c r="A47" s="4" t="inlineStr">
        <is>
          <t>OBS-043</t>
        </is>
      </c>
      <c r="B47" s="4" t="inlineStr">
        <is>
          <t>Unifilar / MT / Medida</t>
        </is>
      </c>
      <c r="C47" s="4" t="inlineStr">
        <is>
          <t>Unifilar</t>
        </is>
      </c>
      <c r="D47" s="4" t="inlineStr">
        <is>
          <t>Cortacircuitos</t>
        </is>
      </c>
      <c r="E47" s="4" t="inlineStr">
        <is>
          <t>Verificar</t>
        </is>
      </c>
      <c r="F47" s="4" t="inlineStr">
        <is>
          <t>Dos fusibles de 3 A para 50 kVA a 13,2 kV: la corriente nominal es de unos 3,8 A y el fusible queda por debajo.</t>
        </is>
      </c>
      <c r="G47" s="4" t="inlineStr">
        <is>
          <t>Fusible: 3 A</t>
        </is>
      </c>
      <c r="H47" s="4" t="inlineStr">
        <is>
          <t>I nominal: ≈ 3,8 A</t>
        </is>
      </c>
      <c r="I47" s="4" t="inlineStr">
        <is>
          <t>RETIE vigente; norma del operador de red</t>
        </is>
      </c>
      <c r="J47" s="4" t="inlineStr">
        <is>
          <t>Media</t>
        </is>
      </c>
      <c r="K47" s="17" t="n"/>
      <c r="L47" s="4" t="inlineStr">
        <is>
          <t>Verificar la selección del fusible con el operador de red.</t>
        </is>
      </c>
      <c r="M47" s="15" t="n"/>
      <c r="N47" s="25" t="n"/>
      <c r="O47" s="15" t="inlineStr">
        <is>
          <t>Abierta</t>
        </is>
      </c>
      <c r="P47" s="25" t="n"/>
      <c r="Q47" s="15" t="n"/>
      <c r="R47" s="15" t="n"/>
    </row>
    <row r="48">
      <c r="A48" s="4" t="inlineStr">
        <is>
          <t>OBS-044</t>
        </is>
      </c>
      <c r="B48" s="4" t="inlineStr">
        <is>
          <t>Unifilar / MT / Medida</t>
        </is>
      </c>
      <c r="C48" s="4" t="inlineStr">
        <is>
          <t>Unifilar</t>
        </is>
      </c>
      <c r="D48" s="4" t="inlineStr">
        <is>
          <t>Fases en MT</t>
        </is>
      </c>
      <c r="E48" s="4" t="inlineStr">
        <is>
          <t>Discrepancia</t>
        </is>
      </c>
      <c r="F48" s="4" t="inlineStr">
        <is>
          <t>Se dibujan 3 × No.2 Cu hacia el transformador, pero hay 2 fusibles, 2 TC y 2 TP, es decir, un sistema bifásico.</t>
        </is>
      </c>
      <c r="G48" s="4" t="inlineStr">
        <is>
          <t>3 conductores</t>
        </is>
      </c>
      <c r="H48" s="4" t="inlineStr">
        <is>
          <t>2 fusibles, 2 TC, 2 TP</t>
        </is>
      </c>
      <c r="I48" s="4" t="inlineStr">
        <is>
          <t>Coherencia de diseño</t>
        </is>
      </c>
      <c r="J48" s="4" t="inlineStr">
        <is>
          <t>Media</t>
        </is>
      </c>
      <c r="K48" s="17" t="n"/>
      <c r="L48" s="4" t="inlineStr">
        <is>
          <t>Corregir el unifilar.</t>
        </is>
      </c>
      <c r="M48" s="15" t="n"/>
      <c r="N48" s="25" t="n"/>
      <c r="O48" s="15" t="inlineStr">
        <is>
          <t>Abierta</t>
        </is>
      </c>
      <c r="P48" s="25" t="n"/>
      <c r="Q48" s="15" t="n"/>
      <c r="R48" s="15" t="n"/>
    </row>
    <row r="49">
      <c r="A49" s="4" t="inlineStr">
        <is>
          <t>OBS-045</t>
        </is>
      </c>
      <c r="B49" s="4" t="inlineStr">
        <is>
          <t>Tableros y protecciones</t>
        </is>
      </c>
      <c r="C49" s="4" t="inlineStr">
        <is>
          <t>Unifilar</t>
        </is>
      </c>
      <c r="D49" s="4" t="inlineStr">
        <is>
          <t>Barra del tablero general</t>
        </is>
      </c>
      <c r="E49" s="4" t="inlineStr">
        <is>
          <t>Verificar</t>
        </is>
      </c>
      <c r="F49" s="4" t="inlineStr">
        <is>
          <t>Barra de cobre 20 × 3 mm rotulada 323 A, con protección de acometida de 225 A. El valor 323 A no aparece en ningún cálculo.</t>
        </is>
      </c>
      <c r="G49" s="4" t="inlineStr">
        <is>
          <t>Barra: 323 A</t>
        </is>
      </c>
      <c r="H49" s="4" t="inlineStr">
        <is>
          <t>Protección: 225 A</t>
        </is>
      </c>
      <c r="I49" s="4" t="inlineStr">
        <is>
          <t>NTC 2050: capacidad de barras</t>
        </is>
      </c>
      <c r="J49" s="4" t="inlineStr">
        <is>
          <t>Media</t>
        </is>
      </c>
      <c r="K49" s="17" t="n"/>
      <c r="L49" s="4" t="inlineStr">
        <is>
          <t>Aportar certificación del tablero o corregir el rótulo.</t>
        </is>
      </c>
      <c r="M49" s="15" t="n"/>
      <c r="N49" s="25" t="n"/>
      <c r="O49" s="15" t="inlineStr">
        <is>
          <t>Abierta</t>
        </is>
      </c>
      <c r="P49" s="25" t="n"/>
      <c r="Q49" s="15" t="n"/>
      <c r="R49" s="15" t="n"/>
    </row>
    <row r="50">
      <c r="A50" s="4" t="inlineStr">
        <is>
          <t>OBS-046</t>
        </is>
      </c>
      <c r="B50" s="4" t="inlineStr">
        <is>
          <t>Tableros y protecciones</t>
        </is>
      </c>
      <c r="C50" s="4" t="inlineStr">
        <is>
          <t>Unifilar, cálculo, Excel</t>
        </is>
      </c>
      <c r="D50" s="4" t="inlineStr">
        <is>
          <t>TB-Camerinos</t>
        </is>
      </c>
      <c r="E50" s="4" t="inlineStr">
        <is>
          <t>Discrepancia</t>
        </is>
      </c>
      <c r="F50" s="4" t="inlineStr">
        <is>
          <t>Unifilar: 2#8 Cu. Cálculo y balance (IN14.8): Al S8000.</t>
        </is>
      </c>
      <c r="G50" s="4" t="inlineStr">
        <is>
          <t>Unifilar: Cu</t>
        </is>
      </c>
      <c r="H50" s="4" t="inlineStr">
        <is>
          <t>Balance/cálculo: Al</t>
        </is>
      </c>
      <c r="I50" s="4" t="inlineStr">
        <is>
          <t>Coherencia de diseño</t>
        </is>
      </c>
      <c r="J50" s="4" t="inlineStr">
        <is>
          <t>Baja</t>
        </is>
      </c>
      <c r="K50" s="17" t="n"/>
      <c r="L50" s="4" t="inlineStr">
        <is>
          <t>Unificar el material.</t>
        </is>
      </c>
      <c r="M50" s="15" t="n"/>
      <c r="N50" s="25" t="n"/>
      <c r="O50" s="15" t="inlineStr">
        <is>
          <t>Abierta</t>
        </is>
      </c>
      <c r="P50" s="25" t="n"/>
      <c r="Q50" s="15" t="n"/>
      <c r="R50" s="15" t="n"/>
    </row>
    <row r="51">
      <c r="A51" s="4" t="inlineStr">
        <is>
          <t>OBS-047</t>
        </is>
      </c>
      <c r="B51" s="4" t="inlineStr">
        <is>
          <t>Ductería y redes</t>
        </is>
      </c>
      <c r="C51" s="4" t="inlineStr">
        <is>
          <t>Unifilar, ductería</t>
        </is>
      </c>
      <c r="D51" s="4" t="inlineStr">
        <is>
          <t>TB-Garita</t>
        </is>
      </c>
      <c r="E51" s="4" t="inlineStr">
        <is>
          <t>Discrepancia</t>
        </is>
      </c>
      <c r="F51" s="4" t="inlineStr">
        <is>
          <t>Unifilar: ø1". Ductería: ø1¼".</t>
        </is>
      </c>
      <c r="G51" s="4" t="inlineStr">
        <is>
          <t>Unifilar: ø1"</t>
        </is>
      </c>
      <c r="H51" s="4" t="inlineStr">
        <is>
          <t>Ductería: ø1¼"</t>
        </is>
      </c>
      <c r="I51" s="4" t="inlineStr">
        <is>
          <t>Coherencia de diseño</t>
        </is>
      </c>
      <c r="J51" s="4" t="inlineStr">
        <is>
          <t>Baja</t>
        </is>
      </c>
      <c r="K51" s="17" t="n"/>
      <c r="L51" s="4" t="inlineStr">
        <is>
          <t>Unificar el diámetro.</t>
        </is>
      </c>
      <c r="M51" s="15" t="n"/>
      <c r="N51" s="25" t="n"/>
      <c r="O51" s="15" t="inlineStr">
        <is>
          <t>Abierta</t>
        </is>
      </c>
      <c r="P51" s="25" t="n"/>
      <c r="Q51" s="15" t="n"/>
      <c r="R51" s="15" t="n"/>
    </row>
    <row r="52">
      <c r="A52" s="4" t="inlineStr">
        <is>
          <t>OBS-048</t>
        </is>
      </c>
      <c r="B52" s="4" t="inlineStr">
        <is>
          <t>Tableros y protecciones</t>
        </is>
      </c>
      <c r="C52" s="4" t="inlineStr">
        <is>
          <t>Unifilar, Excel</t>
        </is>
      </c>
      <c r="D52" s="4" t="inlineStr">
        <is>
          <t>DPS</t>
        </is>
      </c>
      <c r="E52" s="4" t="inlineStr">
        <is>
          <t>Discrepancia</t>
        </is>
      </c>
      <c r="F52" s="4" t="inlineStr">
        <is>
          <t>El unifilar tiene 3 DPS en MT, 3 en el transformador y 1 en el tablero general. El balance no tiene ítem de DPS en BT.</t>
        </is>
      </c>
      <c r="G52" s="4" t="inlineStr">
        <is>
          <t>Unifilar: 7</t>
        </is>
      </c>
      <c r="H52" s="4" t="inlineStr">
        <is>
          <t>Balance: 0</t>
        </is>
      </c>
      <c r="I52" s="4" t="inlineStr">
        <is>
          <t>RETIE vigente</t>
        </is>
      </c>
      <c r="J52" s="4" t="inlineStr">
        <is>
          <t>Media</t>
        </is>
      </c>
      <c r="K52" s="17">
        <f>Balance_Cantidades!K22</f>
        <v/>
      </c>
      <c r="L52" s="4" t="inlineStr">
        <is>
          <t>Incluir el ítem o aclarar su inclusión en otros.</t>
        </is>
      </c>
      <c r="M52" s="15" t="n"/>
      <c r="N52" s="25" t="n"/>
      <c r="O52" s="15" t="inlineStr">
        <is>
          <t>Abierta</t>
        </is>
      </c>
      <c r="P52" s="25" t="n"/>
      <c r="Q52" s="15" t="n"/>
      <c r="R52" s="15" t="n"/>
    </row>
    <row r="53">
      <c r="A53" s="4" t="inlineStr">
        <is>
          <t>OBS-049</t>
        </is>
      </c>
      <c r="B53" s="4" t="inlineStr">
        <is>
          <t>Tableros y protecciones</t>
        </is>
      </c>
      <c r="C53" s="4" t="inlineStr">
        <is>
          <t>Excel, unifilar</t>
        </is>
      </c>
      <c r="D53" s="4" t="inlineStr">
        <is>
          <t>4.22 vs IN14.12 a IN14.15</t>
        </is>
      </c>
      <c r="E53" s="4" t="inlineStr">
        <is>
          <t>Verificar</t>
        </is>
      </c>
      <c r="F53" s="4" t="inlineStr">
        <is>
          <t>El 4.22 ($49,8 M) es el tablero general "según unifilar". Los breakers 2×30 A y 2×40 A de IN14.14 e IN14.15 podrían estar ya incluidos en él (posible doble cobro).</t>
        </is>
      </c>
      <c r="G53" s="4" t="inlineStr">
        <is>
          <t>4.22: tablero según unifilar</t>
        </is>
      </c>
      <c r="H53" s="4" t="inlineStr">
        <is>
          <t>IN14.14/15: 3 breakers</t>
        </is>
      </c>
      <c r="I53" s="4" t="inlineStr">
        <is>
          <t>Control de acta</t>
        </is>
      </c>
      <c r="J53" s="4" t="inlineStr">
        <is>
          <t>Alta</t>
        </is>
      </c>
      <c r="K53" s="17">
        <f>Balance_Cantidades!K19</f>
        <v/>
      </c>
      <c r="L53" s="4" t="inlineStr">
        <is>
          <t>Presentar el APU de 4.22 y descartar duplicidades.</t>
        </is>
      </c>
      <c r="M53" s="15" t="n"/>
      <c r="N53" s="25" t="n"/>
      <c r="O53" s="15" t="inlineStr">
        <is>
          <t>Abierta</t>
        </is>
      </c>
      <c r="P53" s="25" t="n"/>
      <c r="Q53" s="15" t="n"/>
      <c r="R53" s="15" t="n"/>
    </row>
    <row r="54">
      <c r="A54" s="4" t="inlineStr">
        <is>
          <t>OBS-050</t>
        </is>
      </c>
      <c r="B54" s="4" t="inlineStr">
        <is>
          <t>Unifilar / MT / Medida</t>
        </is>
      </c>
      <c r="C54" s="4" t="inlineStr">
        <is>
          <t>Unifilar, Excel</t>
        </is>
      </c>
      <c r="D54" s="4" t="inlineStr">
        <is>
          <t>Acometida 2×350 MCM Al</t>
        </is>
      </c>
      <c r="E54" s="4" t="inlineStr">
        <is>
          <t>Concordancia</t>
        </is>
      </c>
      <c r="F54" s="4" t="inlineStr">
        <is>
          <t>Acometida del transformador al tablero general: unifilar, cálculo e IN14.7 coinciden en calibre.</t>
        </is>
      </c>
      <c r="G54" s="4" t="inlineStr">
        <is>
          <t>Unifilar: 2×350 MCM Al</t>
        </is>
      </c>
      <c r="H54" s="4" t="inlineStr">
        <is>
          <t>IN14.7: 2×350 MCM Al</t>
        </is>
      </c>
      <c r="I54" s="4" t="inlineStr">
        <is>
          <t>—</t>
        </is>
      </c>
      <c r="J54" s="4" t="inlineStr">
        <is>
          <t>Baja</t>
        </is>
      </c>
      <c r="K54" s="17" t="n"/>
      <c r="L54" s="4" t="inlineStr">
        <is>
          <t>Sin acción.</t>
        </is>
      </c>
      <c r="M54" s="15" t="n"/>
      <c r="N54" s="25" t="n"/>
      <c r="O54" s="15" t="inlineStr">
        <is>
          <t>No aplica</t>
        </is>
      </c>
      <c r="P54" s="25" t="n"/>
      <c r="Q54" s="15" t="n"/>
      <c r="R54" s="15" t="n"/>
    </row>
    <row r="55">
      <c r="A55" s="4" t="inlineStr">
        <is>
          <t>OBS-051</t>
        </is>
      </c>
      <c r="B55" s="4" t="inlineStr">
        <is>
          <t>Unifilar / MT / Medida</t>
        </is>
      </c>
      <c r="C55" s="4" t="inlineStr">
        <is>
          <t>Unifilar, Excel</t>
        </is>
      </c>
      <c r="D55" s="4" t="inlineStr">
        <is>
          <t>Medida indirecta</t>
        </is>
      </c>
      <c r="E55" s="4" t="inlineStr">
        <is>
          <t>Concordancia</t>
        </is>
      </c>
      <c r="F55" s="4" t="inlineStr">
        <is>
          <t>Equipo de medida con 2 TC y 2 TP coincide con IN14.22 (medida indirecta). El 4.49 semidirecta se retiró.</t>
        </is>
      </c>
      <c r="G55" s="4" t="inlineStr">
        <is>
          <t>Unifilar: TC/TP</t>
        </is>
      </c>
      <c r="H55" s="4" t="inlineStr">
        <is>
          <t>IN14.22</t>
        </is>
      </c>
      <c r="I55" s="4" t="inlineStr">
        <is>
          <t>—</t>
        </is>
      </c>
      <c r="J55" s="4" t="inlineStr">
        <is>
          <t>Baja</t>
        </is>
      </c>
      <c r="K55" s="17" t="n"/>
      <c r="L55" s="4" t="inlineStr">
        <is>
          <t>Sin acción.</t>
        </is>
      </c>
      <c r="M55" s="15" t="n"/>
      <c r="N55" s="25" t="n"/>
      <c r="O55" s="15" t="inlineStr">
        <is>
          <t>No aplica</t>
        </is>
      </c>
      <c r="P55" s="25" t="n"/>
      <c r="Q55" s="15" t="n"/>
      <c r="R55" s="15" t="n"/>
    </row>
    <row r="56">
      <c r="A56" s="4" t="inlineStr">
        <is>
          <t>OBS-052</t>
        </is>
      </c>
      <c r="B56" s="4" t="inlineStr">
        <is>
          <t>Ductería y redes</t>
        </is>
      </c>
      <c r="C56" s="4" t="inlineStr">
        <is>
          <t>Unifilar, DXF, cálculo, Excel</t>
        </is>
      </c>
      <c r="D56" s="4" t="inlineStr">
        <is>
          <t>Alimentadores de mástiles</t>
        </is>
      </c>
      <c r="E56" s="4" t="inlineStr">
        <is>
          <t>Concordancia</t>
        </is>
      </c>
      <c r="F56" s="4" t="inlineStr">
        <is>
          <t>Calibre #4 Al y ductería ø1½" coinciden entre unifilar, DXF y cálculo, y con IN14.5 y IN14.11.</t>
        </is>
      </c>
      <c r="G56" s="4" t="inlineStr">
        <is>
          <t>Unifilar: 2#4 Al ø1½"</t>
        </is>
      </c>
      <c r="H56" s="4" t="inlineStr">
        <is>
          <t>DXF: ídem</t>
        </is>
      </c>
      <c r="I56" s="4" t="inlineStr">
        <is>
          <t>—</t>
        </is>
      </c>
      <c r="J56" s="4" t="inlineStr">
        <is>
          <t>Baja</t>
        </is>
      </c>
      <c r="K56" s="17" t="n"/>
      <c r="L56" s="4" t="inlineStr">
        <is>
          <t>Sin acción.</t>
        </is>
      </c>
      <c r="M56" s="15" t="n"/>
      <c r="N56" s="25" t="n"/>
      <c r="O56" s="15" t="inlineStr">
        <is>
          <t>No aplica</t>
        </is>
      </c>
      <c r="P56" s="25" t="n"/>
      <c r="Q56" s="15" t="n"/>
      <c r="R56" s="15" t="n"/>
    </row>
    <row r="57">
      <c r="A57" s="4" t="inlineStr">
        <is>
          <t>OBS-053</t>
        </is>
      </c>
      <c r="B57" s="4" t="inlineStr">
        <is>
          <t>Puesta a tierra</t>
        </is>
      </c>
      <c r="C57" s="4" t="inlineStr">
        <is>
          <t>Unifilar, Excel</t>
        </is>
      </c>
      <c r="D57" s="4" t="inlineStr">
        <is>
          <t>SPT</t>
        </is>
      </c>
      <c r="E57" s="4" t="inlineStr">
        <is>
          <t>Concordancia</t>
        </is>
      </c>
      <c r="F57" s="4" t="inlineStr">
        <is>
          <t>Se mantienen 4.7 (SPT transformador y MT, 2 unidades) y se añade IN14.16 (malla 5 × 5 m); el 4.28 retirado no se duplica.</t>
        </is>
      </c>
      <c r="G57" s="4" t="inlineStr">
        <is>
          <t>Balance: 4.7 + IN14.16</t>
        </is>
      </c>
      <c r="H57" s="4" t="inlineStr">
        <is>
          <t>Unifilar: SPT</t>
        </is>
      </c>
      <c r="I57" s="4" t="inlineStr">
        <is>
          <t>RETIE vigente: sistema de puesta a tierra</t>
        </is>
      </c>
      <c r="J57" s="4" t="inlineStr">
        <is>
          <t>Baja</t>
        </is>
      </c>
      <c r="K57" s="17" t="n"/>
      <c r="L57" s="4" t="inlineStr">
        <is>
          <t>Entregar medición de resistencia de puesta a tierra.</t>
        </is>
      </c>
      <c r="M57" s="15" t="n"/>
      <c r="N57" s="25" t="n"/>
      <c r="O57" s="15" t="inlineStr">
        <is>
          <t>No aplica</t>
        </is>
      </c>
      <c r="P57" s="25" t="n"/>
      <c r="Q57" s="15" t="n"/>
      <c r="R57" s="15" t="n"/>
    </row>
    <row r="58">
      <c r="A58" s="4" t="inlineStr">
        <is>
          <t>OBS-054</t>
        </is>
      </c>
      <c r="B58" s="4" t="inlineStr">
        <is>
          <t>Unifilar / MT / Medida</t>
        </is>
      </c>
      <c r="C58" s="4" t="inlineStr">
        <is>
          <t>Unifilar, cálculo</t>
        </is>
      </c>
      <c r="D58" s="4" t="inlineStr">
        <is>
          <t>Cargas por circuito</t>
        </is>
      </c>
      <c r="E58" s="4" t="inlineStr">
        <is>
          <t>Verificar</t>
        </is>
      </c>
      <c r="F58" s="4" t="inlineStr">
        <is>
          <t>El unifilar parece rotular ≈2,76 kW por mástil (lectura borrosa), y el cálculo y el plano dan 3,84 kW (8 × 480 W). Fútbol 6 ≈1,7 kW y Múltiple ≈0,96 kW.</t>
        </is>
      </c>
      <c r="G58" s="4" t="inlineStr">
        <is>
          <t>Unifilar: ≈2,76 kW</t>
        </is>
      </c>
      <c r="H58" s="4" t="inlineStr">
        <is>
          <t>Cálculo: 3,84 kW</t>
        </is>
      </c>
      <c r="I58" s="4" t="inlineStr">
        <is>
          <t>Coherencia de diseño</t>
        </is>
      </c>
      <c r="J58" s="4" t="inlineStr">
        <is>
          <t>Media</t>
        </is>
      </c>
      <c r="K58" s="17" t="n"/>
      <c r="L58" s="4" t="inlineStr">
        <is>
          <t>Entregar el unifilar editable y unificar las cargas.</t>
        </is>
      </c>
      <c r="M58" s="15" t="n"/>
      <c r="N58" s="25" t="n"/>
      <c r="O58" s="15" t="inlineStr">
        <is>
          <t>Abierta</t>
        </is>
      </c>
      <c r="P58" s="25" t="n"/>
      <c r="Q58" s="15" t="n"/>
      <c r="R58" s="15" t="n"/>
    </row>
    <row r="59">
      <c r="A59" s="4" t="inlineStr">
        <is>
          <t>OBS-055</t>
        </is>
      </c>
      <c r="B59" s="4" t="inlineStr">
        <is>
          <t>Documentación</t>
        </is>
      </c>
      <c r="C59" s="4" t="inlineStr">
        <is>
          <t>DXF</t>
        </is>
      </c>
      <c r="D59" s="4" t="inlineStr">
        <is>
          <t>Capa "mástil 16 metros"</t>
        </is>
      </c>
      <c r="E59" s="4" t="inlineStr">
        <is>
          <t>Discrepancia</t>
        </is>
      </c>
      <c r="F59" s="4" t="inlineStr">
        <is>
          <t>La capa se llama "mástil 16 metros" pero los rótulos dicen 22 m.</t>
        </is>
      </c>
      <c r="G59" s="4" t="inlineStr">
        <is>
          <t>Capa: 16 m</t>
        </is>
      </c>
      <c r="H59" s="4" t="inlineStr">
        <is>
          <t>Rótulo: 22 m</t>
        </is>
      </c>
      <c r="I59" s="4" t="inlineStr">
        <is>
          <t>Calidad del plano</t>
        </is>
      </c>
      <c r="J59" s="4" t="inlineStr">
        <is>
          <t>Baja</t>
        </is>
      </c>
      <c r="K59" s="17" t="n"/>
      <c r="L59" s="4" t="inlineStr">
        <is>
          <t>Corregir el DXF.</t>
        </is>
      </c>
      <c r="M59" s="15" t="n"/>
      <c r="N59" s="25" t="n"/>
      <c r="O59" s="15" t="inlineStr">
        <is>
          <t>Abierta</t>
        </is>
      </c>
      <c r="P59" s="25" t="n"/>
      <c r="Q59" s="15" t="n"/>
      <c r="R59" s="15" t="n"/>
    </row>
  </sheetData>
  <autoFilter ref="A4:R59"/>
  <conditionalFormatting sqref="J5:J209">
    <cfRule type="cellIs" priority="1" operator="equal" dxfId="0">
      <formula>"Alta"</formula>
    </cfRule>
    <cfRule type="cellIs" priority="2" operator="equal" dxfId="2">
      <formula>"Media"</formula>
    </cfRule>
    <cfRule type="cellIs" priority="3" operator="equal" dxfId="3">
      <formula>"Baja"</formula>
    </cfRule>
  </conditionalFormatting>
  <conditionalFormatting sqref="E5:E209">
    <cfRule type="cellIs" priority="4" operator="equal" dxfId="1">
      <formula>"Concordancia"</formula>
    </cfRule>
    <cfRule type="cellIs" priority="5" operator="equal" dxfId="4">
      <formula>"Incumplimiento normativo"</formula>
    </cfRule>
  </conditionalFormatting>
  <conditionalFormatting sqref="O5:O209">
    <cfRule type="cellIs" priority="6" operator="equal" dxfId="1">
      <formula>"Cerrada"</formula>
    </cfRule>
    <cfRule type="cellIs" priority="7" operator="equal" dxfId="5">
      <formula>"Abierta"</formula>
    </cfRule>
  </conditionalFormatting>
  <conditionalFormatting sqref="N5:N209">
    <cfRule type="expression" priority="8" dxfId="6">
      <formula>AND(N5&lt;&gt;"",N5&lt;TODAY(),$O5&lt;&gt;"Cerrada",$O5&lt;&gt;"No aplica")</formula>
    </cfRule>
  </conditionalFormatting>
  <dataValidations count="4">
    <dataValidation sqref="E5:E209" showDropDown="0" showInputMessage="0" showErrorMessage="0" allowBlank="1" type="list">
      <formula1>=Listas!$A$2:$A$6</formula1>
    </dataValidation>
    <dataValidation sqref="J5:J209" showDropDown="0" showInputMessage="0" showErrorMessage="0" allowBlank="1" type="list">
      <formula1>=Listas!$B$2:$B$4</formula1>
    </dataValidation>
    <dataValidation sqref="O5:O209" showDropDown="0" showInputMessage="0" showErrorMessage="0" allowBlank="1" type="list">
      <formula1>=Listas!$C$2:$C$6</formula1>
    </dataValidation>
    <dataValidation sqref="B5:B209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34" customWidth="1" min="4" max="4"/>
    <col width="14" customWidth="1" min="5" max="5"/>
    <col width="40" customWidth="1" min="6" max="6"/>
  </cols>
  <sheetData>
    <row r="1" ht="22" customHeight="1">
      <c r="D1" s="1" t="inlineStr">
        <is>
          <t>Lista de verificación para revisión eléctrica de proyectos</t>
        </is>
      </c>
    </row>
    <row r="2" ht="22" customHeight="1">
      <c r="D2" s="2" t="inlineStr">
        <is>
          <t>Formato reutilizable. Diligenciar Resultado y, si no cumple, abrir observación en la matriz. Las referencias son de orden general: completar el numeral aplicable.</t>
        </is>
      </c>
    </row>
    <row r="4" ht="32" customHeight="1">
      <c r="A4" s="7" t="inlineStr">
        <is>
          <t>#</t>
        </is>
      </c>
      <c r="B4" s="7" t="inlineStr">
        <is>
          <t>Sección</t>
        </is>
      </c>
      <c r="C4" s="7" t="inlineStr">
        <is>
          <t>Requisito a verificar</t>
        </is>
      </c>
      <c r="D4" s="7" t="inlineStr">
        <is>
          <t>Referencia</t>
        </is>
      </c>
      <c r="E4" s="7" t="inlineStr">
        <is>
          <t>Resultado</t>
        </is>
      </c>
      <c r="F4" s="7" t="inlineStr">
        <is>
          <t>Observación / ID matriz</t>
        </is>
      </c>
    </row>
    <row r="5">
      <c r="A5" s="4" t="n">
        <v>1</v>
      </c>
      <c r="B5" s="4" t="inlineStr">
        <is>
          <t>Documentación</t>
        </is>
      </c>
      <c r="C5" s="4" t="inlineStr">
        <is>
          <t>Planos y memorias firmados por profesional con matrícula vigente</t>
        </is>
      </c>
      <c r="D5" s="4" t="inlineStr">
        <is>
          <t>RETIE vigente</t>
        </is>
      </c>
      <c r="E5" s="15" t="inlineStr">
        <is>
          <t>Pendiente</t>
        </is>
      </c>
      <c r="F5" s="4" t="n"/>
    </row>
    <row r="6">
      <c r="A6" s="4" t="n">
        <v>2</v>
      </c>
      <c r="B6" s="4" t="inlineStr">
        <is>
          <t>Documentación</t>
        </is>
      </c>
      <c r="C6" s="4" t="inlineStr">
        <is>
          <t>Fechas y versión del diseño coherentes con la ejecución y el contrato</t>
        </is>
      </c>
      <c r="D6" s="4" t="inlineStr">
        <is>
          <t>Contrato</t>
        </is>
      </c>
      <c r="E6" s="15" t="inlineStr">
        <is>
          <t>Pendiente</t>
        </is>
      </c>
      <c r="F6" s="4" t="n"/>
    </row>
    <row r="7">
      <c r="A7" s="4" t="n">
        <v>3</v>
      </c>
      <c r="B7" s="4" t="inlineStr">
        <is>
          <t>Documentación</t>
        </is>
      </c>
      <c r="C7" s="4" t="inlineStr">
        <is>
          <t>Factibilidad / punto de conexión definido y aprobado por el operador de red</t>
        </is>
      </c>
      <c r="D7" s="4" t="inlineStr">
        <is>
          <t>Operador de red</t>
        </is>
      </c>
      <c r="E7" s="15" t="inlineStr">
        <is>
          <t>Pendiente</t>
        </is>
      </c>
      <c r="F7" s="4" t="n"/>
    </row>
    <row r="8">
      <c r="A8" s="4" t="n">
        <v>4</v>
      </c>
      <c r="B8" s="4" t="inlineStr">
        <is>
          <t>Documentación</t>
        </is>
      </c>
      <c r="C8" s="4" t="inlineStr">
        <is>
          <t>Planos, cálculos, unifilar y balance con las mismas cantidades</t>
        </is>
      </c>
      <c r="D8" s="4" t="inlineStr">
        <is>
          <t>Coherencia de diseño</t>
        </is>
      </c>
      <c r="E8" s="15" t="inlineStr">
        <is>
          <t>Pendiente</t>
        </is>
      </c>
      <c r="F8" s="4" t="n"/>
    </row>
    <row r="9">
      <c r="A9" s="4" t="n">
        <v>5</v>
      </c>
      <c r="B9" s="4" t="inlineStr">
        <is>
          <t>Documentación</t>
        </is>
      </c>
      <c r="C9" s="4" t="inlineStr">
        <is>
          <t>Certificados de producto (luminarias, cables, tableros, DPS, transformador)</t>
        </is>
      </c>
      <c r="D9" s="4" t="inlineStr">
        <is>
          <t>RETIE vigente; RETILAP vigente</t>
        </is>
      </c>
      <c r="E9" s="15" t="inlineStr">
        <is>
          <t>Pendiente</t>
        </is>
      </c>
      <c r="F9" s="4" t="n"/>
    </row>
    <row r="10">
      <c r="A10" s="4" t="n">
        <v>6</v>
      </c>
      <c r="B10" s="4" t="inlineStr">
        <is>
          <t>Documentación</t>
        </is>
      </c>
      <c r="C10" s="4" t="inlineStr">
        <is>
          <t>Archivos fotométricos (LDT/IES) y fichas técnicas</t>
        </is>
      </c>
      <c r="D10" s="4" t="inlineStr">
        <is>
          <t>RETILAP vigente</t>
        </is>
      </c>
      <c r="E10" s="15" t="inlineStr">
        <is>
          <t>Pendiente</t>
        </is>
      </c>
      <c r="F10" s="4" t="n"/>
    </row>
    <row r="11">
      <c r="A11" s="4" t="n">
        <v>7</v>
      </c>
      <c r="B11" s="4" t="inlineStr">
        <is>
          <t>Media tensión y medida</t>
        </is>
      </c>
      <c r="C11" s="4" t="inlineStr">
        <is>
          <t>Conductor, apoyos y vanos acotados y coherentes con el balance</t>
        </is>
      </c>
      <c r="D11" s="4" t="inlineStr">
        <is>
          <t>Operador de red</t>
        </is>
      </c>
      <c r="E11" s="15" t="inlineStr">
        <is>
          <t>Pendiente</t>
        </is>
      </c>
      <c r="F11" s="4" t="n"/>
    </row>
    <row r="12">
      <c r="A12" s="4" t="n">
        <v>8</v>
      </c>
      <c r="B12" s="4" t="inlineStr">
        <is>
          <t>Media tensión y medida</t>
        </is>
      </c>
      <c r="C12" s="4" t="inlineStr">
        <is>
          <t>Protecciones de MT (cortacircuitos, fusibles, DPS) seleccionadas por corriente nominal</t>
        </is>
      </c>
      <c r="D12" s="4" t="inlineStr">
        <is>
          <t>RETIE vigente; operador de red</t>
        </is>
      </c>
      <c r="E12" s="15" t="inlineStr">
        <is>
          <t>Pendiente</t>
        </is>
      </c>
      <c r="F12" s="4" t="n"/>
    </row>
    <row r="13">
      <c r="A13" s="4" t="n">
        <v>9</v>
      </c>
      <c r="B13" s="4" t="inlineStr">
        <is>
          <t>Media tensión y medida</t>
        </is>
      </c>
      <c r="C13" s="4" t="inlineStr">
        <is>
          <t>Esquema de medida (TC, TP, medidor) conforme a lo requerido por el operador</t>
        </is>
      </c>
      <c r="D13" s="4" t="inlineStr">
        <is>
          <t>Operador de red</t>
        </is>
      </c>
      <c r="E13" s="15" t="inlineStr">
        <is>
          <t>Pendiente</t>
        </is>
      </c>
      <c r="F13" s="4" t="n"/>
    </row>
    <row r="14">
      <c r="A14" s="4" t="n">
        <v>10</v>
      </c>
      <c r="B14" s="4" t="inlineStr">
        <is>
          <t>Transformador</t>
        </is>
      </c>
      <c r="C14" s="4" t="inlineStr">
        <is>
          <t>Potencia del transformador sustentada con cuadro de cargas y demanda</t>
        </is>
      </c>
      <c r="D14" s="4" t="inlineStr">
        <is>
          <t>NTC 2050; RETIE vigente</t>
        </is>
      </c>
      <c r="E14" s="15" t="inlineStr">
        <is>
          <t>Pendiente</t>
        </is>
      </c>
      <c r="F14" s="4" t="n"/>
    </row>
    <row r="15">
      <c r="A15" s="4" t="n">
        <v>11</v>
      </c>
      <c r="B15" s="4" t="inlineStr">
        <is>
          <t>Transformador</t>
        </is>
      </c>
      <c r="C15" s="4" t="inlineStr">
        <is>
          <t>Transformador e ítems asociados presentes en el balance</t>
        </is>
      </c>
      <c r="D15" s="4" t="inlineStr">
        <is>
          <t>Control de acta</t>
        </is>
      </c>
      <c r="E15" s="15" t="inlineStr">
        <is>
          <t>Pendiente</t>
        </is>
      </c>
      <c r="F15" s="4" t="n"/>
    </row>
    <row r="16">
      <c r="A16" s="4" t="n">
        <v>12</v>
      </c>
      <c r="B16" s="4" t="inlineStr">
        <is>
          <t>Tableros y protecciones</t>
        </is>
      </c>
      <c r="C16" s="4" t="inlineStr">
        <is>
          <t>Protecciones ≥ 125 % de la carga continua y ≤ ampacidad del conductor</t>
        </is>
      </c>
      <c r="D16" s="4" t="inlineStr">
        <is>
          <t>NTC 2050 210-20 y 215-3</t>
        </is>
      </c>
      <c r="E16" s="15" t="inlineStr">
        <is>
          <t>Pendiente</t>
        </is>
      </c>
      <c r="F16" s="4" t="n"/>
    </row>
    <row r="17">
      <c r="A17" s="4" t="n">
        <v>13</v>
      </c>
      <c r="B17" s="4" t="inlineStr">
        <is>
          <t>Tableros y protecciones</t>
        </is>
      </c>
      <c r="C17" s="4" t="inlineStr">
        <is>
          <t>Capacidad de barras y corriente de cortocircuito (Icc) declaradas y certificadas</t>
        </is>
      </c>
      <c r="D17" s="4" t="inlineStr">
        <is>
          <t>NTC 2050; RETIE vigente</t>
        </is>
      </c>
      <c r="E17" s="15" t="inlineStr">
        <is>
          <t>Pendiente</t>
        </is>
      </c>
      <c r="F17" s="4" t="n"/>
    </row>
    <row r="18">
      <c r="A18" s="4" t="n">
        <v>14</v>
      </c>
      <c r="B18" s="4" t="inlineStr">
        <is>
          <t>Tableros y protecciones</t>
        </is>
      </c>
      <c r="C18" s="4" t="inlineStr">
        <is>
          <t>DPS en acometida y tableros según diseño</t>
        </is>
      </c>
      <c r="D18" s="4" t="inlineStr">
        <is>
          <t>RETIE vigente</t>
        </is>
      </c>
      <c r="E18" s="15" t="inlineStr">
        <is>
          <t>Pendiente</t>
        </is>
      </c>
      <c r="F18" s="4" t="n"/>
    </row>
    <row r="19">
      <c r="A19" s="4" t="n">
        <v>15</v>
      </c>
      <c r="B19" s="4" t="inlineStr">
        <is>
          <t>Tableros y protecciones</t>
        </is>
      </c>
      <c r="C19" s="4" t="inlineStr">
        <is>
          <t>Sin duplicidad entre tableros/breakers de los ítems del balance</t>
        </is>
      </c>
      <c r="D19" s="4" t="inlineStr">
        <is>
          <t>Control de acta</t>
        </is>
      </c>
      <c r="E19" s="15" t="inlineStr">
        <is>
          <t>Pendiente</t>
        </is>
      </c>
      <c r="F19" s="4" t="n"/>
    </row>
    <row r="20">
      <c r="A20" s="4" t="n">
        <v>16</v>
      </c>
      <c r="B20" s="4" t="inlineStr">
        <is>
          <t>Conductores y ductería</t>
        </is>
      </c>
      <c r="C20" s="4" t="inlineStr">
        <is>
          <t>Calibres consistentes entre unifilar, cálculo, planos y balance</t>
        </is>
      </c>
      <c r="D20" s="4" t="inlineStr">
        <is>
          <t>Coherencia de diseño</t>
        </is>
      </c>
      <c r="E20" s="15" t="inlineStr">
        <is>
          <t>Pendiente</t>
        </is>
      </c>
      <c r="F20" s="4" t="n"/>
    </row>
    <row r="21">
      <c r="A21" s="4" t="n">
        <v>17</v>
      </c>
      <c r="B21" s="4" t="inlineStr">
        <is>
          <t>Conductores y ductería</t>
        </is>
      </c>
      <c r="C21" s="4" t="inlineStr">
        <is>
          <t>Material del conductor (Al / Cu) consistente en todos los documentos</t>
        </is>
      </c>
      <c r="D21" s="4" t="inlineStr">
        <is>
          <t>Coherencia de diseño</t>
        </is>
      </c>
      <c r="E21" s="15" t="inlineStr">
        <is>
          <t>Pendiente</t>
        </is>
      </c>
      <c r="F21" s="4" t="n"/>
    </row>
    <row r="22">
      <c r="A22" s="4" t="n">
        <v>18</v>
      </c>
      <c r="B22" s="4" t="inlineStr">
        <is>
          <t>Conductores y ductería</t>
        </is>
      </c>
      <c r="C22" s="4" t="inlineStr">
        <is>
          <t>Ocupación de ductos ≤ 40 % y diámetros consistentes</t>
        </is>
      </c>
      <c r="D22" s="4" t="inlineStr">
        <is>
          <t>NTC 2050 Cap. 9 Tabla 1</t>
        </is>
      </c>
      <c r="E22" s="15" t="inlineStr">
        <is>
          <t>Pendiente</t>
        </is>
      </c>
      <c r="F22" s="4" t="n"/>
    </row>
    <row r="23">
      <c r="A23" s="4" t="n">
        <v>19</v>
      </c>
      <c r="B23" s="4" t="inlineStr">
        <is>
          <t>Conductores y ductería</t>
        </is>
      </c>
      <c r="C23" s="4" t="inlineStr">
        <is>
          <t>Longitudes por circuito conciliadas con el plano de recorridos</t>
        </is>
      </c>
      <c r="D23" s="4" t="inlineStr">
        <is>
          <t>Control de acta</t>
        </is>
      </c>
      <c r="E23" s="15" t="inlineStr">
        <is>
          <t>Pendiente</t>
        </is>
      </c>
      <c r="F23" s="4" t="n"/>
    </row>
    <row r="24">
      <c r="A24" s="4" t="n">
        <v>20</v>
      </c>
      <c r="B24" s="4" t="inlineStr">
        <is>
          <t>Regulación</t>
        </is>
      </c>
      <c r="C24" s="4" t="inlineStr">
        <is>
          <t>Fórmula con la conductividad / resistencia del material correcto</t>
        </is>
      </c>
      <c r="D24" s="4" t="inlineStr">
        <is>
          <t>NTC 2050 Cap. 9 Tabla 9</t>
        </is>
      </c>
      <c r="E24" s="15" t="inlineStr">
        <is>
          <t>Pendiente</t>
        </is>
      </c>
      <c r="F24" s="4" t="n"/>
    </row>
    <row r="25">
      <c r="A25" s="4" t="n">
        <v>21</v>
      </c>
      <c r="B25" s="4" t="inlineStr">
        <is>
          <t>Regulación</t>
        </is>
      </c>
      <c r="C25" s="4" t="inlineStr">
        <is>
          <t>Secciones usadas = secciones reales del cable</t>
        </is>
      </c>
      <c r="D25" s="4" t="inlineStr">
        <is>
          <t>Memoria de cálculo</t>
        </is>
      </c>
      <c r="E25" s="15" t="inlineStr">
        <is>
          <t>Pendiente</t>
        </is>
      </c>
      <c r="F25" s="4" t="n"/>
    </row>
    <row r="26">
      <c r="A26" s="4" t="n">
        <v>22</v>
      </c>
      <c r="B26" s="4" t="inlineStr">
        <is>
          <t>Regulación</t>
        </is>
      </c>
      <c r="C26" s="4" t="inlineStr">
        <is>
          <t>Caída de tensión ≤ 3 % en alimentador y ≤ 5 % total (o criterio contractual)</t>
        </is>
      </c>
      <c r="D26" s="4" t="inlineStr">
        <is>
          <t>NTC 2050 210-19 y 215-2</t>
        </is>
      </c>
      <c r="E26" s="15" t="inlineStr">
        <is>
          <t>Pendiente</t>
        </is>
      </c>
      <c r="F26" s="4" t="n"/>
    </row>
    <row r="27">
      <c r="A27" s="4" t="n">
        <v>23</v>
      </c>
      <c r="B27" s="4" t="inlineStr">
        <is>
          <t>Regulación</t>
        </is>
      </c>
      <c r="C27" s="4" t="inlineStr">
        <is>
          <t>Cargas por circuito coinciden con las luminarias del diseño</t>
        </is>
      </c>
      <c r="D27" s="4" t="inlineStr">
        <is>
          <t>Coherencia de diseño</t>
        </is>
      </c>
      <c r="E27" s="15" t="inlineStr">
        <is>
          <t>Pendiente</t>
        </is>
      </c>
      <c r="F27" s="4" t="n"/>
    </row>
    <row r="28">
      <c r="A28" s="4" t="n">
        <v>24</v>
      </c>
      <c r="B28" s="4" t="inlineStr">
        <is>
          <t>Puesta a tierra</t>
        </is>
      </c>
      <c r="C28" s="4" t="inlineStr">
        <is>
          <t>Conductor de tierra de equipos dimensionado según la protección</t>
        </is>
      </c>
      <c r="D28" s="4" t="inlineStr">
        <is>
          <t>NTC 2050 250-122</t>
        </is>
      </c>
      <c r="E28" s="15" t="inlineStr">
        <is>
          <t>Pendiente</t>
        </is>
      </c>
      <c r="F28" s="4" t="n"/>
    </row>
    <row r="29">
      <c r="A29" s="4" t="n">
        <v>25</v>
      </c>
      <c r="B29" s="4" t="inlineStr">
        <is>
          <t>Puesta a tierra</t>
        </is>
      </c>
      <c r="C29" s="4" t="inlineStr">
        <is>
          <t>Diseño de SPT con medición de resistencia</t>
        </is>
      </c>
      <c r="D29" s="4" t="inlineStr">
        <is>
          <t>RETIE vigente</t>
        </is>
      </c>
      <c r="E29" s="15" t="inlineStr">
        <is>
          <t>Pendiente</t>
        </is>
      </c>
      <c r="F29" s="4" t="n"/>
    </row>
    <row r="30">
      <c r="A30" s="4" t="n">
        <v>26</v>
      </c>
      <c r="B30" s="4" t="inlineStr">
        <is>
          <t>Puesta a tierra</t>
        </is>
      </c>
      <c r="C30" s="4" t="inlineStr">
        <is>
          <t>Evaluación de riesgo por rayos que justifique el apantallamiento</t>
        </is>
      </c>
      <c r="D30" s="4" t="inlineStr">
        <is>
          <t>RETIE vigente</t>
        </is>
      </c>
      <c r="E30" s="15" t="inlineStr">
        <is>
          <t>Pendiente</t>
        </is>
      </c>
      <c r="F30" s="4" t="n"/>
    </row>
    <row r="31">
      <c r="A31" s="4" t="n">
        <v>27</v>
      </c>
      <c r="B31" s="4" t="inlineStr">
        <is>
          <t>Iluminación</t>
        </is>
      </c>
      <c r="C31" s="4" t="inlineStr">
        <is>
          <t>Nivel de iluminancia y uniformidad según categoría exigida</t>
        </is>
      </c>
      <c r="D31" s="4" t="inlineStr">
        <is>
          <t>RETILAP vigente</t>
        </is>
      </c>
      <c r="E31" s="15" t="inlineStr">
        <is>
          <t>Pendiente</t>
        </is>
      </c>
      <c r="F31" s="4" t="n"/>
    </row>
    <row r="32">
      <c r="A32" s="4" t="n">
        <v>28</v>
      </c>
      <c r="B32" s="4" t="inlineStr">
        <is>
          <t>Iluminación</t>
        </is>
      </c>
      <c r="C32" s="4" t="inlineStr">
        <is>
          <t>Informe de cálculo con posición, altura, inclinación y orientación</t>
        </is>
      </c>
      <c r="D32" s="4" t="inlineStr">
        <is>
          <t>RETILAP vigente</t>
        </is>
      </c>
      <c r="E32" s="15" t="inlineStr">
        <is>
          <t>Pendiente</t>
        </is>
      </c>
      <c r="F32" s="4" t="n"/>
    </row>
    <row r="33">
      <c r="A33" s="4" t="n">
        <v>29</v>
      </c>
      <c r="B33" s="4" t="inlineStr">
        <is>
          <t>Iluminación</t>
        </is>
      </c>
      <c r="C33" s="4" t="inlineStr">
        <is>
          <t>Deslumbramiento y luz intrusa evaluados</t>
        </is>
      </c>
      <c r="D33" s="4" t="inlineStr">
        <is>
          <t>RETILAP vigente</t>
        </is>
      </c>
      <c r="E33" s="15" t="inlineStr">
        <is>
          <t>Pendiente</t>
        </is>
      </c>
      <c r="F33" s="4" t="n"/>
    </row>
    <row r="34">
      <c r="A34" s="4" t="n">
        <v>30</v>
      </c>
      <c r="B34" s="4" t="inlineStr">
        <is>
          <t>Iluminación</t>
        </is>
      </c>
      <c r="C34" s="4" t="inlineStr">
        <is>
          <t>Factor de mantenimiento justificado</t>
        </is>
      </c>
      <c r="D34" s="4" t="inlineStr">
        <is>
          <t>RETILAP vigente</t>
        </is>
      </c>
      <c r="E34" s="15" t="inlineStr">
        <is>
          <t>Pendiente</t>
        </is>
      </c>
      <c r="F34" s="4" t="n"/>
    </row>
    <row r="35">
      <c r="A35" s="4" t="n">
        <v>31</v>
      </c>
      <c r="B35" s="4" t="inlineStr">
        <is>
          <t>Iluminación</t>
        </is>
      </c>
      <c r="C35" s="4" t="inlineStr">
        <is>
          <t>Luminaria del informe = luminaria del plano = luminaria del balance</t>
        </is>
      </c>
      <c r="D35" s="4" t="inlineStr">
        <is>
          <t>Coherencia de diseño</t>
        </is>
      </c>
      <c r="E35" s="15" t="inlineStr">
        <is>
          <t>Pendiente</t>
        </is>
      </c>
      <c r="F35" s="4" t="n"/>
    </row>
    <row r="36">
      <c r="A36" s="4" t="n">
        <v>32</v>
      </c>
      <c r="B36" s="4" t="inlineStr">
        <is>
          <t>Balance</t>
        </is>
      </c>
      <c r="C36" s="4" t="inlineStr">
        <is>
          <t>Cantidades del balance sustentadas por planos y cálculos</t>
        </is>
      </c>
      <c r="D36" s="4" t="inlineStr">
        <is>
          <t>Control de acta</t>
        </is>
      </c>
      <c r="E36" s="15" t="inlineStr">
        <is>
          <t>Pendiente</t>
        </is>
      </c>
      <c r="F36" s="4" t="n"/>
    </row>
    <row r="37">
      <c r="A37" s="4" t="n">
        <v>33</v>
      </c>
      <c r="B37" s="4" t="inlineStr">
        <is>
          <t>Balance</t>
        </is>
      </c>
      <c r="C37" s="4" t="inlineStr">
        <is>
          <t>Ítems nuevos con código, unidad, APU y aprobación</t>
        </is>
      </c>
      <c r="D37" s="4" t="inlineStr">
        <is>
          <t>Contrato</t>
        </is>
      </c>
      <c r="E37" s="15" t="inlineStr">
        <is>
          <t>Pendiente</t>
        </is>
      </c>
      <c r="F37" s="4" t="n"/>
    </row>
    <row r="38">
      <c r="A38" s="4" t="n">
        <v>34</v>
      </c>
      <c r="B38" s="4" t="inlineStr">
        <is>
          <t>Balance</t>
        </is>
      </c>
      <c r="C38" s="4" t="inlineStr">
        <is>
          <t>Fórmulas y subtotales del acta correctos</t>
        </is>
      </c>
      <c r="D38" s="4" t="inlineStr">
        <is>
          <t>Control de acta</t>
        </is>
      </c>
      <c r="E38" s="15" t="inlineStr">
        <is>
          <t>Pendiente</t>
        </is>
      </c>
      <c r="F38" s="4" t="n"/>
    </row>
  </sheetData>
  <conditionalFormatting sqref="E5:E78">
    <cfRule type="cellIs" priority="1" operator="equal" dxfId="0">
      <formula>"No cumple"</formula>
    </cfRule>
    <cfRule type="cellIs" priority="2" operator="equal" dxfId="1">
      <formula>"Cumple"</formula>
    </cfRule>
  </conditionalFormatting>
  <dataValidations count="1">
    <dataValidation sqref="E5:E78" showDropDown="0" showInputMessage="0" showErrorMessage="0" allowBlank="1" type="list">
      <formula1>=Listas!$E$2:$E$6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0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– formato en blanco</t>
        </is>
      </c>
    </row>
    <row r="2" ht="22" customHeight="1">
      <c r="D2" s="2" t="inlineStr">
        <is>
          <t>Copiar esta hoja para cada nuevo proyecto. Listas desplegables y formato condicional ya aplicados.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>
        <f>IF(F5="","","OBS-"&amp;TEXT(ROW()-4,"000"))</f>
        <v/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17" t="n"/>
      <c r="L5" s="4" t="n"/>
      <c r="M5" s="15" t="n"/>
      <c r="N5" s="25" t="n"/>
      <c r="O5" s="15" t="n"/>
      <c r="P5" s="25" t="n"/>
      <c r="Q5" s="15" t="n"/>
      <c r="R5" s="15" t="n"/>
    </row>
    <row r="6">
      <c r="A6" s="4">
        <f>IF(F6="","","OBS-"&amp;TEXT(ROW()-4,"000"))</f>
        <v/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17" t="n"/>
      <c r="L6" s="4" t="n"/>
      <c r="M6" s="15" t="n"/>
      <c r="N6" s="25" t="n"/>
      <c r="O6" s="15" t="n"/>
      <c r="P6" s="25" t="n"/>
      <c r="Q6" s="15" t="n"/>
      <c r="R6" s="15" t="n"/>
    </row>
    <row r="7">
      <c r="A7" s="4">
        <f>IF(F7="","","OBS-"&amp;TEXT(ROW()-4,"000"))</f>
        <v/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17" t="n"/>
      <c r="L7" s="4" t="n"/>
      <c r="M7" s="15" t="n"/>
      <c r="N7" s="25" t="n"/>
      <c r="O7" s="15" t="n"/>
      <c r="P7" s="25" t="n"/>
      <c r="Q7" s="15" t="n"/>
      <c r="R7" s="15" t="n"/>
    </row>
    <row r="8">
      <c r="A8" s="4">
        <f>IF(F8="","","OBS-"&amp;TEXT(ROW()-4,"000"))</f>
        <v/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17" t="n"/>
      <c r="L8" s="4" t="n"/>
      <c r="M8" s="15" t="n"/>
      <c r="N8" s="25" t="n"/>
      <c r="O8" s="15" t="n"/>
      <c r="P8" s="25" t="n"/>
      <c r="Q8" s="15" t="n"/>
      <c r="R8" s="15" t="n"/>
    </row>
    <row r="9">
      <c r="A9" s="4">
        <f>IF(F9="","","OBS-"&amp;TEXT(ROW()-4,"000"))</f>
        <v/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17" t="n"/>
      <c r="L9" s="4" t="n"/>
      <c r="M9" s="15" t="n"/>
      <c r="N9" s="25" t="n"/>
      <c r="O9" s="15" t="n"/>
      <c r="P9" s="25" t="n"/>
      <c r="Q9" s="15" t="n"/>
      <c r="R9" s="15" t="n"/>
    </row>
    <row r="10">
      <c r="A10" s="4">
        <f>IF(F10="","","OBS-"&amp;TEXT(ROW()-4,"000"))</f>
        <v/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17" t="n"/>
      <c r="L10" s="4" t="n"/>
      <c r="M10" s="15" t="n"/>
      <c r="N10" s="25" t="n"/>
      <c r="O10" s="15" t="n"/>
      <c r="P10" s="25" t="n"/>
      <c r="Q10" s="15" t="n"/>
      <c r="R10" s="15" t="n"/>
    </row>
    <row r="11">
      <c r="A11" s="4">
        <f>IF(F11="","","OBS-"&amp;TEXT(ROW()-4,"000"))</f>
        <v/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17" t="n"/>
      <c r="L11" s="4" t="n"/>
      <c r="M11" s="15" t="n"/>
      <c r="N11" s="25" t="n"/>
      <c r="O11" s="15" t="n"/>
      <c r="P11" s="25" t="n"/>
      <c r="Q11" s="15" t="n"/>
      <c r="R11" s="15" t="n"/>
    </row>
    <row r="12">
      <c r="A12" s="4">
        <f>IF(F12="","","OBS-"&amp;TEXT(ROW()-4,"000"))</f>
        <v/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17" t="n"/>
      <c r="L12" s="4" t="n"/>
      <c r="M12" s="15" t="n"/>
      <c r="N12" s="25" t="n"/>
      <c r="O12" s="15" t="n"/>
      <c r="P12" s="25" t="n"/>
      <c r="Q12" s="15" t="n"/>
      <c r="R12" s="15" t="n"/>
    </row>
    <row r="13">
      <c r="A13" s="4">
        <f>IF(F13="","","OBS-"&amp;TEXT(ROW()-4,"000"))</f>
        <v/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17" t="n"/>
      <c r="L13" s="4" t="n"/>
      <c r="M13" s="15" t="n"/>
      <c r="N13" s="25" t="n"/>
      <c r="O13" s="15" t="n"/>
      <c r="P13" s="25" t="n"/>
      <c r="Q13" s="15" t="n"/>
      <c r="R13" s="15" t="n"/>
    </row>
    <row r="14">
      <c r="A14" s="4">
        <f>IF(F14="","","OBS-"&amp;TEXT(ROW()-4,"000"))</f>
        <v/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17" t="n"/>
      <c r="L14" s="4" t="n"/>
      <c r="M14" s="15" t="n"/>
      <c r="N14" s="25" t="n"/>
      <c r="O14" s="15" t="n"/>
      <c r="P14" s="25" t="n"/>
      <c r="Q14" s="15" t="n"/>
      <c r="R14" s="15" t="n"/>
    </row>
    <row r="15">
      <c r="A15" s="4">
        <f>IF(F15="","","OBS-"&amp;TEXT(ROW()-4,"000"))</f>
        <v/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17" t="n"/>
      <c r="L15" s="4" t="n"/>
      <c r="M15" s="15" t="n"/>
      <c r="N15" s="25" t="n"/>
      <c r="O15" s="15" t="n"/>
      <c r="P15" s="25" t="n"/>
      <c r="Q15" s="15" t="n"/>
      <c r="R15" s="15" t="n"/>
    </row>
    <row r="16">
      <c r="A16" s="4">
        <f>IF(F16="","","OBS-"&amp;TEXT(ROW()-4,"000"))</f>
        <v/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17" t="n"/>
      <c r="L16" s="4" t="n"/>
      <c r="M16" s="15" t="n"/>
      <c r="N16" s="25" t="n"/>
      <c r="O16" s="15" t="n"/>
      <c r="P16" s="25" t="n"/>
      <c r="Q16" s="15" t="n"/>
      <c r="R16" s="15" t="n"/>
    </row>
    <row r="17">
      <c r="A17" s="4">
        <f>IF(F17="","","OBS-"&amp;TEXT(ROW()-4,"000"))</f>
        <v/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17" t="n"/>
      <c r="L17" s="4" t="n"/>
      <c r="M17" s="15" t="n"/>
      <c r="N17" s="25" t="n"/>
      <c r="O17" s="15" t="n"/>
      <c r="P17" s="25" t="n"/>
      <c r="Q17" s="15" t="n"/>
      <c r="R17" s="15" t="n"/>
    </row>
    <row r="18">
      <c r="A18" s="4">
        <f>IF(F18="","","OBS-"&amp;TEXT(ROW()-4,"000"))</f>
        <v/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17" t="n"/>
      <c r="L18" s="4" t="n"/>
      <c r="M18" s="15" t="n"/>
      <c r="N18" s="25" t="n"/>
      <c r="O18" s="15" t="n"/>
      <c r="P18" s="25" t="n"/>
      <c r="Q18" s="15" t="n"/>
      <c r="R18" s="15" t="n"/>
    </row>
    <row r="19">
      <c r="A19" s="4">
        <f>IF(F19="","","OBS-"&amp;TEXT(ROW()-4,"000"))</f>
        <v/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17" t="n"/>
      <c r="L19" s="4" t="n"/>
      <c r="M19" s="15" t="n"/>
      <c r="N19" s="25" t="n"/>
      <c r="O19" s="15" t="n"/>
      <c r="P19" s="25" t="n"/>
      <c r="Q19" s="15" t="n"/>
      <c r="R19" s="15" t="n"/>
    </row>
    <row r="20">
      <c r="A20" s="4">
        <f>IF(F20="","","OBS-"&amp;TEXT(ROW()-4,"000"))</f>
        <v/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17" t="n"/>
      <c r="L20" s="4" t="n"/>
      <c r="M20" s="15" t="n"/>
      <c r="N20" s="25" t="n"/>
      <c r="O20" s="15" t="n"/>
      <c r="P20" s="25" t="n"/>
      <c r="Q20" s="15" t="n"/>
      <c r="R20" s="15" t="n"/>
    </row>
    <row r="21">
      <c r="A21" s="4">
        <f>IF(F21="","","OBS-"&amp;TEXT(ROW()-4,"000"))</f>
        <v/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17" t="n"/>
      <c r="L21" s="4" t="n"/>
      <c r="M21" s="15" t="n"/>
      <c r="N21" s="25" t="n"/>
      <c r="O21" s="15" t="n"/>
      <c r="P21" s="25" t="n"/>
      <c r="Q21" s="15" t="n"/>
      <c r="R21" s="15" t="n"/>
    </row>
    <row r="22">
      <c r="A22" s="4">
        <f>IF(F22="","","OBS-"&amp;TEXT(ROW()-4,"000"))</f>
        <v/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17" t="n"/>
      <c r="L22" s="4" t="n"/>
      <c r="M22" s="15" t="n"/>
      <c r="N22" s="25" t="n"/>
      <c r="O22" s="15" t="n"/>
      <c r="P22" s="25" t="n"/>
      <c r="Q22" s="15" t="n"/>
      <c r="R22" s="15" t="n"/>
    </row>
    <row r="23">
      <c r="A23" s="4">
        <f>IF(F23="","","OBS-"&amp;TEXT(ROW()-4,"000"))</f>
        <v/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17" t="n"/>
      <c r="L23" s="4" t="n"/>
      <c r="M23" s="15" t="n"/>
      <c r="N23" s="25" t="n"/>
      <c r="O23" s="15" t="n"/>
      <c r="P23" s="25" t="n"/>
      <c r="Q23" s="15" t="n"/>
      <c r="R23" s="15" t="n"/>
    </row>
    <row r="24">
      <c r="A24" s="4">
        <f>IF(F24="","","OBS-"&amp;TEXT(ROW()-4,"000"))</f>
        <v/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17" t="n"/>
      <c r="L24" s="4" t="n"/>
      <c r="M24" s="15" t="n"/>
      <c r="N24" s="25" t="n"/>
      <c r="O24" s="15" t="n"/>
      <c r="P24" s="25" t="n"/>
      <c r="Q24" s="15" t="n"/>
      <c r="R24" s="15" t="n"/>
    </row>
    <row r="25">
      <c r="A25" s="4">
        <f>IF(F25="","","OBS-"&amp;TEXT(ROW()-4,"000"))</f>
        <v/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17" t="n"/>
      <c r="L25" s="4" t="n"/>
      <c r="M25" s="15" t="n"/>
      <c r="N25" s="25" t="n"/>
      <c r="O25" s="15" t="n"/>
      <c r="P25" s="25" t="n"/>
      <c r="Q25" s="15" t="n"/>
      <c r="R25" s="15" t="n"/>
    </row>
    <row r="26">
      <c r="A26" s="4">
        <f>IF(F26="","","OBS-"&amp;TEXT(ROW()-4,"000"))</f>
        <v/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17" t="n"/>
      <c r="L26" s="4" t="n"/>
      <c r="M26" s="15" t="n"/>
      <c r="N26" s="25" t="n"/>
      <c r="O26" s="15" t="n"/>
      <c r="P26" s="25" t="n"/>
      <c r="Q26" s="15" t="n"/>
      <c r="R26" s="15" t="n"/>
    </row>
    <row r="27">
      <c r="A27" s="4">
        <f>IF(F27="","","OBS-"&amp;TEXT(ROW()-4,"000"))</f>
        <v/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17" t="n"/>
      <c r="L27" s="4" t="n"/>
      <c r="M27" s="15" t="n"/>
      <c r="N27" s="25" t="n"/>
      <c r="O27" s="15" t="n"/>
      <c r="P27" s="25" t="n"/>
      <c r="Q27" s="15" t="n"/>
      <c r="R27" s="15" t="n"/>
    </row>
    <row r="28">
      <c r="A28" s="4">
        <f>IF(F28="","","OBS-"&amp;TEXT(ROW()-4,"000"))</f>
        <v/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17" t="n"/>
      <c r="L28" s="4" t="n"/>
      <c r="M28" s="15" t="n"/>
      <c r="N28" s="25" t="n"/>
      <c r="O28" s="15" t="n"/>
      <c r="P28" s="25" t="n"/>
      <c r="Q28" s="15" t="n"/>
      <c r="R28" s="15" t="n"/>
    </row>
    <row r="29">
      <c r="A29" s="4">
        <f>IF(F29="","","OBS-"&amp;TEXT(ROW()-4,"000"))</f>
        <v/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17" t="n"/>
      <c r="L29" s="4" t="n"/>
      <c r="M29" s="15" t="n"/>
      <c r="N29" s="25" t="n"/>
      <c r="O29" s="15" t="n"/>
      <c r="P29" s="25" t="n"/>
      <c r="Q29" s="15" t="n"/>
      <c r="R29" s="15" t="n"/>
    </row>
    <row r="30">
      <c r="A30" s="4">
        <f>IF(F30="","","OBS-"&amp;TEXT(ROW()-4,"000"))</f>
        <v/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17" t="n"/>
      <c r="L30" s="4" t="n"/>
      <c r="M30" s="15" t="n"/>
      <c r="N30" s="25" t="n"/>
      <c r="O30" s="15" t="n"/>
      <c r="P30" s="25" t="n"/>
      <c r="Q30" s="15" t="n"/>
      <c r="R30" s="15" t="n"/>
    </row>
    <row r="31">
      <c r="A31" s="4">
        <f>IF(F31="","","OBS-"&amp;TEXT(ROW()-4,"000"))</f>
        <v/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17" t="n"/>
      <c r="L31" s="4" t="n"/>
      <c r="M31" s="15" t="n"/>
      <c r="N31" s="25" t="n"/>
      <c r="O31" s="15" t="n"/>
      <c r="P31" s="25" t="n"/>
      <c r="Q31" s="15" t="n"/>
      <c r="R31" s="15" t="n"/>
    </row>
    <row r="32">
      <c r="A32" s="4">
        <f>IF(F32="","","OBS-"&amp;TEXT(ROW()-4,"000"))</f>
        <v/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17" t="n"/>
      <c r="L32" s="4" t="n"/>
      <c r="M32" s="15" t="n"/>
      <c r="N32" s="25" t="n"/>
      <c r="O32" s="15" t="n"/>
      <c r="P32" s="25" t="n"/>
      <c r="Q32" s="15" t="n"/>
      <c r="R32" s="15" t="n"/>
    </row>
    <row r="33">
      <c r="A33" s="4">
        <f>IF(F33="","","OBS-"&amp;TEXT(ROW()-4,"000"))</f>
        <v/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17" t="n"/>
      <c r="L33" s="4" t="n"/>
      <c r="M33" s="15" t="n"/>
      <c r="N33" s="25" t="n"/>
      <c r="O33" s="15" t="n"/>
      <c r="P33" s="25" t="n"/>
      <c r="Q33" s="15" t="n"/>
      <c r="R33" s="15" t="n"/>
    </row>
    <row r="34">
      <c r="A34" s="4">
        <f>IF(F34="","","OBS-"&amp;TEXT(ROW()-4,"000"))</f>
        <v/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17" t="n"/>
      <c r="L34" s="4" t="n"/>
      <c r="M34" s="15" t="n"/>
      <c r="N34" s="25" t="n"/>
      <c r="O34" s="15" t="n"/>
      <c r="P34" s="25" t="n"/>
      <c r="Q34" s="15" t="n"/>
      <c r="R34" s="15" t="n"/>
    </row>
    <row r="35">
      <c r="A35" s="4">
        <f>IF(F35="","","OBS-"&amp;TEXT(ROW()-4,"000"))</f>
        <v/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17" t="n"/>
      <c r="L35" s="4" t="n"/>
      <c r="M35" s="15" t="n"/>
      <c r="N35" s="25" t="n"/>
      <c r="O35" s="15" t="n"/>
      <c r="P35" s="25" t="n"/>
      <c r="Q35" s="15" t="n"/>
      <c r="R35" s="15" t="n"/>
    </row>
    <row r="36">
      <c r="A36" s="4">
        <f>IF(F36="","","OBS-"&amp;TEXT(ROW()-4,"000"))</f>
        <v/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17" t="n"/>
      <c r="L36" s="4" t="n"/>
      <c r="M36" s="15" t="n"/>
      <c r="N36" s="25" t="n"/>
      <c r="O36" s="15" t="n"/>
      <c r="P36" s="25" t="n"/>
      <c r="Q36" s="15" t="n"/>
      <c r="R36" s="15" t="n"/>
    </row>
    <row r="37">
      <c r="A37" s="4">
        <f>IF(F37="","","OBS-"&amp;TEXT(ROW()-4,"000"))</f>
        <v/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17" t="n"/>
      <c r="L37" s="4" t="n"/>
      <c r="M37" s="15" t="n"/>
      <c r="N37" s="25" t="n"/>
      <c r="O37" s="15" t="n"/>
      <c r="P37" s="25" t="n"/>
      <c r="Q37" s="15" t="n"/>
      <c r="R37" s="15" t="n"/>
    </row>
    <row r="38">
      <c r="A38" s="4">
        <f>IF(F38="","","OBS-"&amp;TEXT(ROW()-4,"000"))</f>
        <v/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17" t="n"/>
      <c r="L38" s="4" t="n"/>
      <c r="M38" s="15" t="n"/>
      <c r="N38" s="25" t="n"/>
      <c r="O38" s="15" t="n"/>
      <c r="P38" s="25" t="n"/>
      <c r="Q38" s="15" t="n"/>
      <c r="R38" s="15" t="n"/>
    </row>
    <row r="39">
      <c r="A39" s="4">
        <f>IF(F39="","","OBS-"&amp;TEXT(ROW()-4,"000"))</f>
        <v/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17" t="n"/>
      <c r="L39" s="4" t="n"/>
      <c r="M39" s="15" t="n"/>
      <c r="N39" s="25" t="n"/>
      <c r="O39" s="15" t="n"/>
      <c r="P39" s="25" t="n"/>
      <c r="Q39" s="15" t="n"/>
      <c r="R39" s="15" t="n"/>
    </row>
    <row r="40">
      <c r="A40" s="4">
        <f>IF(F40="","","OBS-"&amp;TEXT(ROW()-4,"000"))</f>
        <v/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17" t="n"/>
      <c r="L40" s="4" t="n"/>
      <c r="M40" s="15" t="n"/>
      <c r="N40" s="25" t="n"/>
      <c r="O40" s="15" t="n"/>
      <c r="P40" s="25" t="n"/>
      <c r="Q40" s="15" t="n"/>
      <c r="R40" s="15" t="n"/>
    </row>
    <row r="41">
      <c r="A41" s="4">
        <f>IF(F41="","","OBS-"&amp;TEXT(ROW()-4,"000"))</f>
        <v/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17" t="n"/>
      <c r="L41" s="4" t="n"/>
      <c r="M41" s="15" t="n"/>
      <c r="N41" s="25" t="n"/>
      <c r="O41" s="15" t="n"/>
      <c r="P41" s="25" t="n"/>
      <c r="Q41" s="15" t="n"/>
      <c r="R41" s="15" t="n"/>
    </row>
    <row r="42">
      <c r="A42" s="4">
        <f>IF(F42="","","OBS-"&amp;TEXT(ROW()-4,"000"))</f>
        <v/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17" t="n"/>
      <c r="L42" s="4" t="n"/>
      <c r="M42" s="15" t="n"/>
      <c r="N42" s="25" t="n"/>
      <c r="O42" s="15" t="n"/>
      <c r="P42" s="25" t="n"/>
      <c r="Q42" s="15" t="n"/>
      <c r="R42" s="15" t="n"/>
    </row>
    <row r="43">
      <c r="A43" s="4">
        <f>IF(F43="","","OBS-"&amp;TEXT(ROW()-4,"000"))</f>
        <v/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17" t="n"/>
      <c r="L43" s="4" t="n"/>
      <c r="M43" s="15" t="n"/>
      <c r="N43" s="25" t="n"/>
      <c r="O43" s="15" t="n"/>
      <c r="P43" s="25" t="n"/>
      <c r="Q43" s="15" t="n"/>
      <c r="R43" s="15" t="n"/>
    </row>
    <row r="44">
      <c r="A44" s="4">
        <f>IF(F44="","","OBS-"&amp;TEXT(ROW()-4,"000"))</f>
        <v/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17" t="n"/>
      <c r="L44" s="4" t="n"/>
      <c r="M44" s="15" t="n"/>
      <c r="N44" s="25" t="n"/>
      <c r="O44" s="15" t="n"/>
      <c r="P44" s="25" t="n"/>
      <c r="Q44" s="15" t="n"/>
      <c r="R44" s="15" t="n"/>
    </row>
    <row r="45">
      <c r="A45" s="4">
        <f>IF(F45="","","OBS-"&amp;TEXT(ROW()-4,"000"))</f>
        <v/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17" t="n"/>
      <c r="L45" s="4" t="n"/>
      <c r="M45" s="15" t="n"/>
      <c r="N45" s="25" t="n"/>
      <c r="O45" s="15" t="n"/>
      <c r="P45" s="25" t="n"/>
      <c r="Q45" s="15" t="n"/>
      <c r="R45" s="15" t="n"/>
    </row>
    <row r="46">
      <c r="A46" s="4">
        <f>IF(F46="","","OBS-"&amp;TEXT(ROW()-4,"000"))</f>
        <v/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17" t="n"/>
      <c r="L46" s="4" t="n"/>
      <c r="M46" s="15" t="n"/>
      <c r="N46" s="25" t="n"/>
      <c r="O46" s="15" t="n"/>
      <c r="P46" s="25" t="n"/>
      <c r="Q46" s="15" t="n"/>
      <c r="R46" s="15" t="n"/>
    </row>
    <row r="47">
      <c r="A47" s="4">
        <f>IF(F47="","","OBS-"&amp;TEXT(ROW()-4,"000"))</f>
        <v/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17" t="n"/>
      <c r="L47" s="4" t="n"/>
      <c r="M47" s="15" t="n"/>
      <c r="N47" s="25" t="n"/>
      <c r="O47" s="15" t="n"/>
      <c r="P47" s="25" t="n"/>
      <c r="Q47" s="15" t="n"/>
      <c r="R47" s="15" t="n"/>
    </row>
    <row r="48">
      <c r="A48" s="4">
        <f>IF(F48="","","OBS-"&amp;TEXT(ROW()-4,"000"))</f>
        <v/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17" t="n"/>
      <c r="L48" s="4" t="n"/>
      <c r="M48" s="15" t="n"/>
      <c r="N48" s="25" t="n"/>
      <c r="O48" s="15" t="n"/>
      <c r="P48" s="25" t="n"/>
      <c r="Q48" s="15" t="n"/>
      <c r="R48" s="15" t="n"/>
    </row>
    <row r="49">
      <c r="A49" s="4">
        <f>IF(F49="","","OBS-"&amp;TEXT(ROW()-4,"000"))</f>
        <v/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17" t="n"/>
      <c r="L49" s="4" t="n"/>
      <c r="M49" s="15" t="n"/>
      <c r="N49" s="25" t="n"/>
      <c r="O49" s="15" t="n"/>
      <c r="P49" s="25" t="n"/>
      <c r="Q49" s="15" t="n"/>
      <c r="R49" s="15" t="n"/>
    </row>
    <row r="50">
      <c r="A50" s="4">
        <f>IF(F50="","","OBS-"&amp;TEXT(ROW()-4,"000"))</f>
        <v/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17" t="n"/>
      <c r="L50" s="4" t="n"/>
      <c r="M50" s="15" t="n"/>
      <c r="N50" s="25" t="n"/>
      <c r="O50" s="15" t="n"/>
      <c r="P50" s="25" t="n"/>
      <c r="Q50" s="15" t="n"/>
      <c r="R50" s="15" t="n"/>
    </row>
    <row r="51">
      <c r="A51" s="4">
        <f>IF(F51="","","OBS-"&amp;TEXT(ROW()-4,"000"))</f>
        <v/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17" t="n"/>
      <c r="L51" s="4" t="n"/>
      <c r="M51" s="15" t="n"/>
      <c r="N51" s="25" t="n"/>
      <c r="O51" s="15" t="n"/>
      <c r="P51" s="25" t="n"/>
      <c r="Q51" s="15" t="n"/>
      <c r="R51" s="15" t="n"/>
    </row>
    <row r="52">
      <c r="A52" s="4">
        <f>IF(F52="","","OBS-"&amp;TEXT(ROW()-4,"000"))</f>
        <v/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17" t="n"/>
      <c r="L52" s="4" t="n"/>
      <c r="M52" s="15" t="n"/>
      <c r="N52" s="25" t="n"/>
      <c r="O52" s="15" t="n"/>
      <c r="P52" s="25" t="n"/>
      <c r="Q52" s="15" t="n"/>
      <c r="R52" s="15" t="n"/>
    </row>
    <row r="53">
      <c r="A53" s="4">
        <f>IF(F53="","","OBS-"&amp;TEXT(ROW()-4,"000"))</f>
        <v/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17" t="n"/>
      <c r="L53" s="4" t="n"/>
      <c r="M53" s="15" t="n"/>
      <c r="N53" s="25" t="n"/>
      <c r="O53" s="15" t="n"/>
      <c r="P53" s="25" t="n"/>
      <c r="Q53" s="15" t="n"/>
      <c r="R53" s="15" t="n"/>
    </row>
    <row r="54">
      <c r="A54" s="4">
        <f>IF(F54="","","OBS-"&amp;TEXT(ROW()-4,"000"))</f>
        <v/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17" t="n"/>
      <c r="L54" s="4" t="n"/>
      <c r="M54" s="15" t="n"/>
      <c r="N54" s="25" t="n"/>
      <c r="O54" s="15" t="n"/>
      <c r="P54" s="25" t="n"/>
      <c r="Q54" s="15" t="n"/>
      <c r="R54" s="15" t="n"/>
    </row>
    <row r="55">
      <c r="A55" s="4">
        <f>IF(F55="","","OBS-"&amp;TEXT(ROW()-4,"000"))</f>
        <v/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17" t="n"/>
      <c r="L55" s="4" t="n"/>
      <c r="M55" s="15" t="n"/>
      <c r="N55" s="25" t="n"/>
      <c r="O55" s="15" t="n"/>
      <c r="P55" s="25" t="n"/>
      <c r="Q55" s="15" t="n"/>
      <c r="R55" s="15" t="n"/>
    </row>
    <row r="56">
      <c r="A56" s="4">
        <f>IF(F56="","","OBS-"&amp;TEXT(ROW()-4,"000"))</f>
        <v/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17" t="n"/>
      <c r="L56" s="4" t="n"/>
      <c r="M56" s="15" t="n"/>
      <c r="N56" s="25" t="n"/>
      <c r="O56" s="15" t="n"/>
      <c r="P56" s="25" t="n"/>
      <c r="Q56" s="15" t="n"/>
      <c r="R56" s="15" t="n"/>
    </row>
    <row r="57">
      <c r="A57" s="4">
        <f>IF(F57="","","OBS-"&amp;TEXT(ROW()-4,"000"))</f>
        <v/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17" t="n"/>
      <c r="L57" s="4" t="n"/>
      <c r="M57" s="15" t="n"/>
      <c r="N57" s="25" t="n"/>
      <c r="O57" s="15" t="n"/>
      <c r="P57" s="25" t="n"/>
      <c r="Q57" s="15" t="n"/>
      <c r="R57" s="15" t="n"/>
    </row>
    <row r="58">
      <c r="A58" s="4">
        <f>IF(F58="","","OBS-"&amp;TEXT(ROW()-4,"000"))</f>
        <v/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17" t="n"/>
      <c r="L58" s="4" t="n"/>
      <c r="M58" s="15" t="n"/>
      <c r="N58" s="25" t="n"/>
      <c r="O58" s="15" t="n"/>
      <c r="P58" s="25" t="n"/>
      <c r="Q58" s="15" t="n"/>
      <c r="R58" s="15" t="n"/>
    </row>
    <row r="59">
      <c r="A59" s="4">
        <f>IF(F59="","","OBS-"&amp;TEXT(ROW()-4,"000"))</f>
        <v/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17" t="n"/>
      <c r="L59" s="4" t="n"/>
      <c r="M59" s="15" t="n"/>
      <c r="N59" s="25" t="n"/>
      <c r="O59" s="15" t="n"/>
      <c r="P59" s="25" t="n"/>
      <c r="Q59" s="15" t="n"/>
      <c r="R59" s="15" t="n"/>
    </row>
    <row r="60">
      <c r="A60" s="4">
        <f>IF(F60="","","OBS-"&amp;TEXT(ROW()-4,"000"))</f>
        <v/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17" t="n"/>
      <c r="L60" s="4" t="n"/>
      <c r="M60" s="15" t="n"/>
      <c r="N60" s="25" t="n"/>
      <c r="O60" s="15" t="n"/>
      <c r="P60" s="25" t="n"/>
      <c r="Q60" s="15" t="n"/>
      <c r="R60" s="15" t="n"/>
    </row>
    <row r="61">
      <c r="A61" s="4">
        <f>IF(F61="","","OBS-"&amp;TEXT(ROW()-4,"000"))</f>
        <v/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17" t="n"/>
      <c r="L61" s="4" t="n"/>
      <c r="M61" s="15" t="n"/>
      <c r="N61" s="25" t="n"/>
      <c r="O61" s="15" t="n"/>
      <c r="P61" s="25" t="n"/>
      <c r="Q61" s="15" t="n"/>
      <c r="R61" s="15" t="n"/>
    </row>
    <row r="62">
      <c r="A62" s="4">
        <f>IF(F62="","","OBS-"&amp;TEXT(ROW()-4,"000"))</f>
        <v/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17" t="n"/>
      <c r="L62" s="4" t="n"/>
      <c r="M62" s="15" t="n"/>
      <c r="N62" s="25" t="n"/>
      <c r="O62" s="15" t="n"/>
      <c r="P62" s="25" t="n"/>
      <c r="Q62" s="15" t="n"/>
      <c r="R62" s="15" t="n"/>
    </row>
    <row r="63">
      <c r="A63" s="4">
        <f>IF(F63="","","OBS-"&amp;TEXT(ROW()-4,"000"))</f>
        <v/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17" t="n"/>
      <c r="L63" s="4" t="n"/>
      <c r="M63" s="15" t="n"/>
      <c r="N63" s="25" t="n"/>
      <c r="O63" s="15" t="n"/>
      <c r="P63" s="25" t="n"/>
      <c r="Q63" s="15" t="n"/>
      <c r="R63" s="15" t="n"/>
    </row>
    <row r="64">
      <c r="A64" s="4">
        <f>IF(F64="","","OBS-"&amp;TEXT(ROW()-4,"000"))</f>
        <v/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17" t="n"/>
      <c r="L64" s="4" t="n"/>
      <c r="M64" s="15" t="n"/>
      <c r="N64" s="25" t="n"/>
      <c r="O64" s="15" t="n"/>
      <c r="P64" s="25" t="n"/>
      <c r="Q64" s="15" t="n"/>
      <c r="R64" s="15" t="n"/>
    </row>
    <row r="65">
      <c r="A65" s="4">
        <f>IF(F65="","","OBS-"&amp;TEXT(ROW()-4,"000"))</f>
        <v/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17" t="n"/>
      <c r="L65" s="4" t="n"/>
      <c r="M65" s="15" t="n"/>
      <c r="N65" s="25" t="n"/>
      <c r="O65" s="15" t="n"/>
      <c r="P65" s="25" t="n"/>
      <c r="Q65" s="15" t="n"/>
      <c r="R65" s="15" t="n"/>
    </row>
    <row r="66">
      <c r="A66" s="4">
        <f>IF(F66="","","OBS-"&amp;TEXT(ROW()-4,"000"))</f>
        <v/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17" t="n"/>
      <c r="L66" s="4" t="n"/>
      <c r="M66" s="15" t="n"/>
      <c r="N66" s="25" t="n"/>
      <c r="O66" s="15" t="n"/>
      <c r="P66" s="25" t="n"/>
      <c r="Q66" s="15" t="n"/>
      <c r="R66" s="15" t="n"/>
    </row>
    <row r="67">
      <c r="A67" s="4">
        <f>IF(F67="","","OBS-"&amp;TEXT(ROW()-4,"000"))</f>
        <v/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17" t="n"/>
      <c r="L67" s="4" t="n"/>
      <c r="M67" s="15" t="n"/>
      <c r="N67" s="25" t="n"/>
      <c r="O67" s="15" t="n"/>
      <c r="P67" s="25" t="n"/>
      <c r="Q67" s="15" t="n"/>
      <c r="R67" s="15" t="n"/>
    </row>
    <row r="68">
      <c r="A68" s="4">
        <f>IF(F68="","","OBS-"&amp;TEXT(ROW()-4,"000"))</f>
        <v/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17" t="n"/>
      <c r="L68" s="4" t="n"/>
      <c r="M68" s="15" t="n"/>
      <c r="N68" s="25" t="n"/>
      <c r="O68" s="15" t="n"/>
      <c r="P68" s="25" t="n"/>
      <c r="Q68" s="15" t="n"/>
      <c r="R68" s="15" t="n"/>
    </row>
    <row r="69">
      <c r="A69" s="4">
        <f>IF(F69="","","OBS-"&amp;TEXT(ROW()-4,"000"))</f>
        <v/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17" t="n"/>
      <c r="L69" s="4" t="n"/>
      <c r="M69" s="15" t="n"/>
      <c r="N69" s="25" t="n"/>
      <c r="O69" s="15" t="n"/>
      <c r="P69" s="25" t="n"/>
      <c r="Q69" s="15" t="n"/>
      <c r="R69" s="15" t="n"/>
    </row>
    <row r="70">
      <c r="A70" s="4">
        <f>IF(F70="","","OBS-"&amp;TEXT(ROW()-4,"000"))</f>
        <v/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17" t="n"/>
      <c r="L70" s="4" t="n"/>
      <c r="M70" s="15" t="n"/>
      <c r="N70" s="25" t="n"/>
      <c r="O70" s="15" t="n"/>
      <c r="P70" s="25" t="n"/>
      <c r="Q70" s="15" t="n"/>
      <c r="R70" s="15" t="n"/>
    </row>
    <row r="71">
      <c r="A71" s="4">
        <f>IF(F71="","","OBS-"&amp;TEXT(ROW()-4,"000"))</f>
        <v/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17" t="n"/>
      <c r="L71" s="4" t="n"/>
      <c r="M71" s="15" t="n"/>
      <c r="N71" s="25" t="n"/>
      <c r="O71" s="15" t="n"/>
      <c r="P71" s="25" t="n"/>
      <c r="Q71" s="15" t="n"/>
      <c r="R71" s="15" t="n"/>
    </row>
    <row r="72">
      <c r="A72" s="4">
        <f>IF(F72="","","OBS-"&amp;TEXT(ROW()-4,"000"))</f>
        <v/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17" t="n"/>
      <c r="L72" s="4" t="n"/>
      <c r="M72" s="15" t="n"/>
      <c r="N72" s="25" t="n"/>
      <c r="O72" s="15" t="n"/>
      <c r="P72" s="25" t="n"/>
      <c r="Q72" s="15" t="n"/>
      <c r="R72" s="15" t="n"/>
    </row>
    <row r="73">
      <c r="A73" s="4">
        <f>IF(F73="","","OBS-"&amp;TEXT(ROW()-4,"000"))</f>
        <v/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17" t="n"/>
      <c r="L73" s="4" t="n"/>
      <c r="M73" s="15" t="n"/>
      <c r="N73" s="25" t="n"/>
      <c r="O73" s="15" t="n"/>
      <c r="P73" s="25" t="n"/>
      <c r="Q73" s="15" t="n"/>
      <c r="R73" s="15" t="n"/>
    </row>
    <row r="74">
      <c r="A74" s="4">
        <f>IF(F74="","","OBS-"&amp;TEXT(ROW()-4,"000"))</f>
        <v/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17" t="n"/>
      <c r="L74" s="4" t="n"/>
      <c r="M74" s="15" t="n"/>
      <c r="N74" s="25" t="n"/>
      <c r="O74" s="15" t="n"/>
      <c r="P74" s="25" t="n"/>
      <c r="Q74" s="15" t="n"/>
      <c r="R74" s="15" t="n"/>
    </row>
    <row r="75">
      <c r="A75" s="4">
        <f>IF(F75="","","OBS-"&amp;TEXT(ROW()-4,"000"))</f>
        <v/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17" t="n"/>
      <c r="L75" s="4" t="n"/>
      <c r="M75" s="15" t="n"/>
      <c r="N75" s="25" t="n"/>
      <c r="O75" s="15" t="n"/>
      <c r="P75" s="25" t="n"/>
      <c r="Q75" s="15" t="n"/>
      <c r="R75" s="15" t="n"/>
    </row>
    <row r="76">
      <c r="A76" s="4">
        <f>IF(F76="","","OBS-"&amp;TEXT(ROW()-4,"000"))</f>
        <v/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17" t="n"/>
      <c r="L76" s="4" t="n"/>
      <c r="M76" s="15" t="n"/>
      <c r="N76" s="25" t="n"/>
      <c r="O76" s="15" t="n"/>
      <c r="P76" s="25" t="n"/>
      <c r="Q76" s="15" t="n"/>
      <c r="R76" s="15" t="n"/>
    </row>
    <row r="77">
      <c r="A77" s="4">
        <f>IF(F77="","","OBS-"&amp;TEXT(ROW()-4,"000"))</f>
        <v/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17" t="n"/>
      <c r="L77" s="4" t="n"/>
      <c r="M77" s="15" t="n"/>
      <c r="N77" s="25" t="n"/>
      <c r="O77" s="15" t="n"/>
      <c r="P77" s="25" t="n"/>
      <c r="Q77" s="15" t="n"/>
      <c r="R77" s="15" t="n"/>
    </row>
    <row r="78">
      <c r="A78" s="4">
        <f>IF(F78="","","OBS-"&amp;TEXT(ROW()-4,"000"))</f>
        <v/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17" t="n"/>
      <c r="L78" s="4" t="n"/>
      <c r="M78" s="15" t="n"/>
      <c r="N78" s="25" t="n"/>
      <c r="O78" s="15" t="n"/>
      <c r="P78" s="25" t="n"/>
      <c r="Q78" s="15" t="n"/>
      <c r="R78" s="15" t="n"/>
    </row>
    <row r="79">
      <c r="A79" s="4">
        <f>IF(F79="","","OBS-"&amp;TEXT(ROW()-4,"000"))</f>
        <v/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17" t="n"/>
      <c r="L79" s="4" t="n"/>
      <c r="M79" s="15" t="n"/>
      <c r="N79" s="25" t="n"/>
      <c r="O79" s="15" t="n"/>
      <c r="P79" s="25" t="n"/>
      <c r="Q79" s="15" t="n"/>
      <c r="R79" s="15" t="n"/>
    </row>
    <row r="80">
      <c r="A80" s="4">
        <f>IF(F80="","","OBS-"&amp;TEXT(ROW()-4,"000"))</f>
        <v/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17" t="n"/>
      <c r="L80" s="4" t="n"/>
      <c r="M80" s="15" t="n"/>
      <c r="N80" s="25" t="n"/>
      <c r="O80" s="15" t="n"/>
      <c r="P80" s="25" t="n"/>
      <c r="Q80" s="15" t="n"/>
      <c r="R80" s="15" t="n"/>
    </row>
    <row r="81">
      <c r="A81" s="4">
        <f>IF(F81="","","OBS-"&amp;TEXT(ROW()-4,"000"))</f>
        <v/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17" t="n"/>
      <c r="L81" s="4" t="n"/>
      <c r="M81" s="15" t="n"/>
      <c r="N81" s="25" t="n"/>
      <c r="O81" s="15" t="n"/>
      <c r="P81" s="25" t="n"/>
      <c r="Q81" s="15" t="n"/>
      <c r="R81" s="15" t="n"/>
    </row>
    <row r="82">
      <c r="A82" s="4">
        <f>IF(F82="","","OBS-"&amp;TEXT(ROW()-4,"000"))</f>
        <v/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17" t="n"/>
      <c r="L82" s="4" t="n"/>
      <c r="M82" s="15" t="n"/>
      <c r="N82" s="25" t="n"/>
      <c r="O82" s="15" t="n"/>
      <c r="P82" s="25" t="n"/>
      <c r="Q82" s="15" t="n"/>
      <c r="R82" s="15" t="n"/>
    </row>
    <row r="83">
      <c r="A83" s="4">
        <f>IF(F83="","","OBS-"&amp;TEXT(ROW()-4,"000"))</f>
        <v/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17" t="n"/>
      <c r="L83" s="4" t="n"/>
      <c r="M83" s="15" t="n"/>
      <c r="N83" s="25" t="n"/>
      <c r="O83" s="15" t="n"/>
      <c r="P83" s="25" t="n"/>
      <c r="Q83" s="15" t="n"/>
      <c r="R83" s="15" t="n"/>
    </row>
    <row r="84">
      <c r="A84" s="4">
        <f>IF(F84="","","OBS-"&amp;TEXT(ROW()-4,"000"))</f>
        <v/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17" t="n"/>
      <c r="L84" s="4" t="n"/>
      <c r="M84" s="15" t="n"/>
      <c r="N84" s="25" t="n"/>
      <c r="O84" s="15" t="n"/>
      <c r="P84" s="25" t="n"/>
      <c r="Q84" s="15" t="n"/>
      <c r="R84" s="15" t="n"/>
    </row>
    <row r="85">
      <c r="A85" s="4">
        <f>IF(F85="","","OBS-"&amp;TEXT(ROW()-4,"000"))</f>
        <v/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17" t="n"/>
      <c r="L85" s="4" t="n"/>
      <c r="M85" s="15" t="n"/>
      <c r="N85" s="25" t="n"/>
      <c r="O85" s="15" t="n"/>
      <c r="P85" s="25" t="n"/>
      <c r="Q85" s="15" t="n"/>
      <c r="R85" s="15" t="n"/>
    </row>
    <row r="86">
      <c r="A86" s="4">
        <f>IF(F86="","","OBS-"&amp;TEXT(ROW()-4,"000"))</f>
        <v/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17" t="n"/>
      <c r="L86" s="4" t="n"/>
      <c r="M86" s="15" t="n"/>
      <c r="N86" s="25" t="n"/>
      <c r="O86" s="15" t="n"/>
      <c r="P86" s="25" t="n"/>
      <c r="Q86" s="15" t="n"/>
      <c r="R86" s="15" t="n"/>
    </row>
    <row r="87">
      <c r="A87" s="4">
        <f>IF(F87="","","OBS-"&amp;TEXT(ROW()-4,"000"))</f>
        <v/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17" t="n"/>
      <c r="L87" s="4" t="n"/>
      <c r="M87" s="15" t="n"/>
      <c r="N87" s="25" t="n"/>
      <c r="O87" s="15" t="n"/>
      <c r="P87" s="25" t="n"/>
      <c r="Q87" s="15" t="n"/>
      <c r="R87" s="15" t="n"/>
    </row>
    <row r="88">
      <c r="A88" s="4">
        <f>IF(F88="","","OBS-"&amp;TEXT(ROW()-4,"000"))</f>
        <v/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17" t="n"/>
      <c r="L88" s="4" t="n"/>
      <c r="M88" s="15" t="n"/>
      <c r="N88" s="25" t="n"/>
      <c r="O88" s="15" t="n"/>
      <c r="P88" s="25" t="n"/>
      <c r="Q88" s="15" t="n"/>
      <c r="R88" s="15" t="n"/>
    </row>
    <row r="89">
      <c r="A89" s="4">
        <f>IF(F89="","","OBS-"&amp;TEXT(ROW()-4,"000"))</f>
        <v/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17" t="n"/>
      <c r="L89" s="4" t="n"/>
      <c r="M89" s="15" t="n"/>
      <c r="N89" s="25" t="n"/>
      <c r="O89" s="15" t="n"/>
      <c r="P89" s="25" t="n"/>
      <c r="Q89" s="15" t="n"/>
      <c r="R89" s="15" t="n"/>
    </row>
    <row r="90">
      <c r="A90" s="4">
        <f>IF(F90="","","OBS-"&amp;TEXT(ROW()-4,"000"))</f>
        <v/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17" t="n"/>
      <c r="L90" s="4" t="n"/>
      <c r="M90" s="15" t="n"/>
      <c r="N90" s="25" t="n"/>
      <c r="O90" s="15" t="n"/>
      <c r="P90" s="25" t="n"/>
      <c r="Q90" s="15" t="n"/>
      <c r="R90" s="15" t="n"/>
    </row>
    <row r="91">
      <c r="A91" s="4">
        <f>IF(F91="","","OBS-"&amp;TEXT(ROW()-4,"000"))</f>
        <v/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17" t="n"/>
      <c r="L91" s="4" t="n"/>
      <c r="M91" s="15" t="n"/>
      <c r="N91" s="25" t="n"/>
      <c r="O91" s="15" t="n"/>
      <c r="P91" s="25" t="n"/>
      <c r="Q91" s="15" t="n"/>
      <c r="R91" s="15" t="n"/>
    </row>
    <row r="92">
      <c r="A92" s="4">
        <f>IF(F92="","","OBS-"&amp;TEXT(ROW()-4,"000"))</f>
        <v/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17" t="n"/>
      <c r="L92" s="4" t="n"/>
      <c r="M92" s="15" t="n"/>
      <c r="N92" s="25" t="n"/>
      <c r="O92" s="15" t="n"/>
      <c r="P92" s="25" t="n"/>
      <c r="Q92" s="15" t="n"/>
      <c r="R92" s="15" t="n"/>
    </row>
    <row r="93">
      <c r="A93" s="4">
        <f>IF(F93="","","OBS-"&amp;TEXT(ROW()-4,"000"))</f>
        <v/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17" t="n"/>
      <c r="L93" s="4" t="n"/>
      <c r="M93" s="15" t="n"/>
      <c r="N93" s="25" t="n"/>
      <c r="O93" s="15" t="n"/>
      <c r="P93" s="25" t="n"/>
      <c r="Q93" s="15" t="n"/>
      <c r="R93" s="15" t="n"/>
    </row>
    <row r="94">
      <c r="A94" s="4">
        <f>IF(F94="","","OBS-"&amp;TEXT(ROW()-4,"000"))</f>
        <v/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17" t="n"/>
      <c r="L94" s="4" t="n"/>
      <c r="M94" s="15" t="n"/>
      <c r="N94" s="25" t="n"/>
      <c r="O94" s="15" t="n"/>
      <c r="P94" s="25" t="n"/>
      <c r="Q94" s="15" t="n"/>
      <c r="R94" s="15" t="n"/>
    </row>
    <row r="95">
      <c r="A95" s="4">
        <f>IF(F95="","","OBS-"&amp;TEXT(ROW()-4,"000"))</f>
        <v/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17" t="n"/>
      <c r="L95" s="4" t="n"/>
      <c r="M95" s="15" t="n"/>
      <c r="N95" s="25" t="n"/>
      <c r="O95" s="15" t="n"/>
      <c r="P95" s="25" t="n"/>
      <c r="Q95" s="15" t="n"/>
      <c r="R95" s="15" t="n"/>
    </row>
    <row r="96">
      <c r="A96" s="4">
        <f>IF(F96="","","OBS-"&amp;TEXT(ROW()-4,"000"))</f>
        <v/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17" t="n"/>
      <c r="L96" s="4" t="n"/>
      <c r="M96" s="15" t="n"/>
      <c r="N96" s="25" t="n"/>
      <c r="O96" s="15" t="n"/>
      <c r="P96" s="25" t="n"/>
      <c r="Q96" s="15" t="n"/>
      <c r="R96" s="15" t="n"/>
    </row>
    <row r="97">
      <c r="A97" s="4">
        <f>IF(F97="","","OBS-"&amp;TEXT(ROW()-4,"000"))</f>
        <v/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17" t="n"/>
      <c r="L97" s="4" t="n"/>
      <c r="M97" s="15" t="n"/>
      <c r="N97" s="25" t="n"/>
      <c r="O97" s="15" t="n"/>
      <c r="P97" s="25" t="n"/>
      <c r="Q97" s="15" t="n"/>
      <c r="R97" s="15" t="n"/>
    </row>
    <row r="98">
      <c r="A98" s="4">
        <f>IF(F98="","","OBS-"&amp;TEXT(ROW()-4,"000"))</f>
        <v/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17" t="n"/>
      <c r="L98" s="4" t="n"/>
      <c r="M98" s="15" t="n"/>
      <c r="N98" s="25" t="n"/>
      <c r="O98" s="15" t="n"/>
      <c r="P98" s="25" t="n"/>
      <c r="Q98" s="15" t="n"/>
      <c r="R98" s="15" t="n"/>
    </row>
    <row r="99">
      <c r="A99" s="4">
        <f>IF(F99="","","OBS-"&amp;TEXT(ROW()-4,"000"))</f>
        <v/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17" t="n"/>
      <c r="L99" s="4" t="n"/>
      <c r="M99" s="15" t="n"/>
      <c r="N99" s="25" t="n"/>
      <c r="O99" s="15" t="n"/>
      <c r="P99" s="25" t="n"/>
      <c r="Q99" s="15" t="n"/>
      <c r="R99" s="15" t="n"/>
    </row>
    <row r="100">
      <c r="A100" s="4">
        <f>IF(F100="","","OBS-"&amp;TEXT(ROW()-4,"000"))</f>
        <v/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17" t="n"/>
      <c r="L100" s="4" t="n"/>
      <c r="M100" s="15" t="n"/>
      <c r="N100" s="25" t="n"/>
      <c r="O100" s="15" t="n"/>
      <c r="P100" s="25" t="n"/>
      <c r="Q100" s="15" t="n"/>
      <c r="R100" s="15" t="n"/>
    </row>
    <row r="101">
      <c r="A101" s="4">
        <f>IF(F101="","","OBS-"&amp;TEXT(ROW()-4,"000"))</f>
        <v/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17" t="n"/>
      <c r="L101" s="4" t="n"/>
      <c r="M101" s="15" t="n"/>
      <c r="N101" s="25" t="n"/>
      <c r="O101" s="15" t="n"/>
      <c r="P101" s="25" t="n"/>
      <c r="Q101" s="15" t="n"/>
      <c r="R101" s="15" t="n"/>
    </row>
    <row r="102">
      <c r="A102" s="4">
        <f>IF(F102="","","OBS-"&amp;TEXT(ROW()-4,"000"))</f>
        <v/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17" t="n"/>
      <c r="L102" s="4" t="n"/>
      <c r="M102" s="15" t="n"/>
      <c r="N102" s="25" t="n"/>
      <c r="O102" s="15" t="n"/>
      <c r="P102" s="25" t="n"/>
      <c r="Q102" s="15" t="n"/>
      <c r="R102" s="15" t="n"/>
    </row>
    <row r="103">
      <c r="A103" s="4">
        <f>IF(F103="","","OBS-"&amp;TEXT(ROW()-4,"000"))</f>
        <v/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17" t="n"/>
      <c r="L103" s="4" t="n"/>
      <c r="M103" s="15" t="n"/>
      <c r="N103" s="25" t="n"/>
      <c r="O103" s="15" t="n"/>
      <c r="P103" s="25" t="n"/>
      <c r="Q103" s="15" t="n"/>
      <c r="R103" s="15" t="n"/>
    </row>
    <row r="104">
      <c r="A104" s="4">
        <f>IF(F104="","","OBS-"&amp;TEXT(ROW()-4,"000"))</f>
        <v/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17" t="n"/>
      <c r="L104" s="4" t="n"/>
      <c r="M104" s="15" t="n"/>
      <c r="N104" s="25" t="n"/>
      <c r="O104" s="15" t="n"/>
      <c r="P104" s="25" t="n"/>
      <c r="Q104" s="15" t="n"/>
      <c r="R104" s="15" t="n"/>
    </row>
    <row r="105">
      <c r="A105" s="4">
        <f>IF(F105="","","OBS-"&amp;TEXT(ROW()-4,"000"))</f>
        <v/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17" t="n"/>
      <c r="L105" s="4" t="n"/>
      <c r="M105" s="15" t="n"/>
      <c r="N105" s="25" t="n"/>
      <c r="O105" s="15" t="n"/>
      <c r="P105" s="25" t="n"/>
      <c r="Q105" s="15" t="n"/>
      <c r="R105" s="15" t="n"/>
    </row>
    <row r="106">
      <c r="A106" s="4">
        <f>IF(F106="","","OBS-"&amp;TEXT(ROW()-4,"000"))</f>
        <v/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17" t="n"/>
      <c r="L106" s="4" t="n"/>
      <c r="M106" s="15" t="n"/>
      <c r="N106" s="25" t="n"/>
      <c r="O106" s="15" t="n"/>
      <c r="P106" s="25" t="n"/>
      <c r="Q106" s="15" t="n"/>
      <c r="R106" s="15" t="n"/>
    </row>
    <row r="107">
      <c r="A107" s="4">
        <f>IF(F107="","","OBS-"&amp;TEXT(ROW()-4,"000"))</f>
        <v/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17" t="n"/>
      <c r="L107" s="4" t="n"/>
      <c r="M107" s="15" t="n"/>
      <c r="N107" s="25" t="n"/>
      <c r="O107" s="15" t="n"/>
      <c r="P107" s="25" t="n"/>
      <c r="Q107" s="15" t="n"/>
      <c r="R107" s="15" t="n"/>
    </row>
    <row r="108">
      <c r="A108" s="4">
        <f>IF(F108="","","OBS-"&amp;TEXT(ROW()-4,"000"))</f>
        <v/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17" t="n"/>
      <c r="L108" s="4" t="n"/>
      <c r="M108" s="15" t="n"/>
      <c r="N108" s="25" t="n"/>
      <c r="O108" s="15" t="n"/>
      <c r="P108" s="25" t="n"/>
      <c r="Q108" s="15" t="n"/>
      <c r="R108" s="15" t="n"/>
    </row>
    <row r="109">
      <c r="A109" s="4">
        <f>IF(F109="","","OBS-"&amp;TEXT(ROW()-4,"000"))</f>
        <v/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17" t="n"/>
      <c r="L109" s="4" t="n"/>
      <c r="M109" s="15" t="n"/>
      <c r="N109" s="25" t="n"/>
      <c r="O109" s="15" t="n"/>
      <c r="P109" s="25" t="n"/>
      <c r="Q109" s="15" t="n"/>
      <c r="R109" s="15" t="n"/>
    </row>
    <row r="110">
      <c r="A110" s="4">
        <f>IF(F110="","","OBS-"&amp;TEXT(ROW()-4,"000"))</f>
        <v/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17" t="n"/>
      <c r="L110" s="4" t="n"/>
      <c r="M110" s="15" t="n"/>
      <c r="N110" s="25" t="n"/>
      <c r="O110" s="15" t="n"/>
      <c r="P110" s="25" t="n"/>
      <c r="Q110" s="15" t="n"/>
      <c r="R110" s="15" t="n"/>
    </row>
    <row r="111">
      <c r="A111" s="4">
        <f>IF(F111="","","OBS-"&amp;TEXT(ROW()-4,"000"))</f>
        <v/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17" t="n"/>
      <c r="L111" s="4" t="n"/>
      <c r="M111" s="15" t="n"/>
      <c r="N111" s="25" t="n"/>
      <c r="O111" s="15" t="n"/>
      <c r="P111" s="25" t="n"/>
      <c r="Q111" s="15" t="n"/>
      <c r="R111" s="15" t="n"/>
    </row>
    <row r="112">
      <c r="A112" s="4">
        <f>IF(F112="","","OBS-"&amp;TEXT(ROW()-4,"000"))</f>
        <v/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17" t="n"/>
      <c r="L112" s="4" t="n"/>
      <c r="M112" s="15" t="n"/>
      <c r="N112" s="25" t="n"/>
      <c r="O112" s="15" t="n"/>
      <c r="P112" s="25" t="n"/>
      <c r="Q112" s="15" t="n"/>
      <c r="R112" s="15" t="n"/>
    </row>
    <row r="113">
      <c r="A113" s="4">
        <f>IF(F113="","","OBS-"&amp;TEXT(ROW()-4,"000"))</f>
        <v/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17" t="n"/>
      <c r="L113" s="4" t="n"/>
      <c r="M113" s="15" t="n"/>
      <c r="N113" s="25" t="n"/>
      <c r="O113" s="15" t="n"/>
      <c r="P113" s="25" t="n"/>
      <c r="Q113" s="15" t="n"/>
      <c r="R113" s="15" t="n"/>
    </row>
    <row r="114">
      <c r="A114" s="4">
        <f>IF(F114="","","OBS-"&amp;TEXT(ROW()-4,"000"))</f>
        <v/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17" t="n"/>
      <c r="L114" s="4" t="n"/>
      <c r="M114" s="15" t="n"/>
      <c r="N114" s="25" t="n"/>
      <c r="O114" s="15" t="n"/>
      <c r="P114" s="25" t="n"/>
      <c r="Q114" s="15" t="n"/>
      <c r="R114" s="15" t="n"/>
    </row>
    <row r="115">
      <c r="A115" s="4">
        <f>IF(F115="","","OBS-"&amp;TEXT(ROW()-4,"000"))</f>
        <v/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17" t="n"/>
      <c r="L115" s="4" t="n"/>
      <c r="M115" s="15" t="n"/>
      <c r="N115" s="25" t="n"/>
      <c r="O115" s="15" t="n"/>
      <c r="P115" s="25" t="n"/>
      <c r="Q115" s="15" t="n"/>
      <c r="R115" s="15" t="n"/>
    </row>
    <row r="116">
      <c r="A116" s="4">
        <f>IF(F116="","","OBS-"&amp;TEXT(ROW()-4,"000"))</f>
        <v/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17" t="n"/>
      <c r="L116" s="4" t="n"/>
      <c r="M116" s="15" t="n"/>
      <c r="N116" s="25" t="n"/>
      <c r="O116" s="15" t="n"/>
      <c r="P116" s="25" t="n"/>
      <c r="Q116" s="15" t="n"/>
      <c r="R116" s="15" t="n"/>
    </row>
    <row r="117">
      <c r="A117" s="4">
        <f>IF(F117="","","OBS-"&amp;TEXT(ROW()-4,"000"))</f>
        <v/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17" t="n"/>
      <c r="L117" s="4" t="n"/>
      <c r="M117" s="15" t="n"/>
      <c r="N117" s="25" t="n"/>
      <c r="O117" s="15" t="n"/>
      <c r="P117" s="25" t="n"/>
      <c r="Q117" s="15" t="n"/>
      <c r="R117" s="15" t="n"/>
    </row>
    <row r="118">
      <c r="A118" s="4">
        <f>IF(F118="","","OBS-"&amp;TEXT(ROW()-4,"000"))</f>
        <v/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17" t="n"/>
      <c r="L118" s="4" t="n"/>
      <c r="M118" s="15" t="n"/>
      <c r="N118" s="25" t="n"/>
      <c r="O118" s="15" t="n"/>
      <c r="P118" s="25" t="n"/>
      <c r="Q118" s="15" t="n"/>
      <c r="R118" s="15" t="n"/>
    </row>
    <row r="119">
      <c r="A119" s="4">
        <f>IF(F119="","","OBS-"&amp;TEXT(ROW()-4,"000"))</f>
        <v/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17" t="n"/>
      <c r="L119" s="4" t="n"/>
      <c r="M119" s="15" t="n"/>
      <c r="N119" s="25" t="n"/>
      <c r="O119" s="15" t="n"/>
      <c r="P119" s="25" t="n"/>
      <c r="Q119" s="15" t="n"/>
      <c r="R119" s="15" t="n"/>
    </row>
    <row r="120">
      <c r="A120" s="4">
        <f>IF(F120="","","OBS-"&amp;TEXT(ROW()-4,"000"))</f>
        <v/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17" t="n"/>
      <c r="L120" s="4" t="n"/>
      <c r="M120" s="15" t="n"/>
      <c r="N120" s="25" t="n"/>
      <c r="O120" s="15" t="n"/>
      <c r="P120" s="25" t="n"/>
      <c r="Q120" s="15" t="n"/>
      <c r="R120" s="15" t="n"/>
    </row>
    <row r="121">
      <c r="A121" s="4">
        <f>IF(F121="","","OBS-"&amp;TEXT(ROW()-4,"000"))</f>
        <v/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17" t="n"/>
      <c r="L121" s="4" t="n"/>
      <c r="M121" s="15" t="n"/>
      <c r="N121" s="25" t="n"/>
      <c r="O121" s="15" t="n"/>
      <c r="P121" s="25" t="n"/>
      <c r="Q121" s="15" t="n"/>
      <c r="R121" s="15" t="n"/>
    </row>
    <row r="122">
      <c r="A122" s="4">
        <f>IF(F122="","","OBS-"&amp;TEXT(ROW()-4,"000"))</f>
        <v/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17" t="n"/>
      <c r="L122" s="4" t="n"/>
      <c r="M122" s="15" t="n"/>
      <c r="N122" s="25" t="n"/>
      <c r="O122" s="15" t="n"/>
      <c r="P122" s="25" t="n"/>
      <c r="Q122" s="15" t="n"/>
      <c r="R122" s="15" t="n"/>
    </row>
    <row r="123">
      <c r="A123" s="4">
        <f>IF(F123="","","OBS-"&amp;TEXT(ROW()-4,"000"))</f>
        <v/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17" t="n"/>
      <c r="L123" s="4" t="n"/>
      <c r="M123" s="15" t="n"/>
      <c r="N123" s="25" t="n"/>
      <c r="O123" s="15" t="n"/>
      <c r="P123" s="25" t="n"/>
      <c r="Q123" s="15" t="n"/>
      <c r="R123" s="15" t="n"/>
    </row>
    <row r="124">
      <c r="A124" s="4">
        <f>IF(F124="","","OBS-"&amp;TEXT(ROW()-4,"000"))</f>
        <v/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17" t="n"/>
      <c r="L124" s="4" t="n"/>
      <c r="M124" s="15" t="n"/>
      <c r="N124" s="25" t="n"/>
      <c r="O124" s="15" t="n"/>
      <c r="P124" s="25" t="n"/>
      <c r="Q124" s="15" t="n"/>
      <c r="R124" s="15" t="n"/>
    </row>
    <row r="125">
      <c r="A125" s="4">
        <f>IF(F125="","","OBS-"&amp;TEXT(ROW()-4,"000"))</f>
        <v/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17" t="n"/>
      <c r="L125" s="4" t="n"/>
      <c r="M125" s="15" t="n"/>
      <c r="N125" s="25" t="n"/>
      <c r="O125" s="15" t="n"/>
      <c r="P125" s="25" t="n"/>
      <c r="Q125" s="15" t="n"/>
      <c r="R125" s="15" t="n"/>
    </row>
    <row r="126">
      <c r="A126" s="4">
        <f>IF(F126="","","OBS-"&amp;TEXT(ROW()-4,"000"))</f>
        <v/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17" t="n"/>
      <c r="L126" s="4" t="n"/>
      <c r="M126" s="15" t="n"/>
      <c r="N126" s="25" t="n"/>
      <c r="O126" s="15" t="n"/>
      <c r="P126" s="25" t="n"/>
      <c r="Q126" s="15" t="n"/>
      <c r="R126" s="15" t="n"/>
    </row>
    <row r="127">
      <c r="A127" s="4">
        <f>IF(F127="","","OBS-"&amp;TEXT(ROW()-4,"000"))</f>
        <v/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17" t="n"/>
      <c r="L127" s="4" t="n"/>
      <c r="M127" s="15" t="n"/>
      <c r="N127" s="25" t="n"/>
      <c r="O127" s="15" t="n"/>
      <c r="P127" s="25" t="n"/>
      <c r="Q127" s="15" t="n"/>
      <c r="R127" s="15" t="n"/>
    </row>
    <row r="128">
      <c r="A128" s="4">
        <f>IF(F128="","","OBS-"&amp;TEXT(ROW()-4,"000"))</f>
        <v/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17" t="n"/>
      <c r="L128" s="4" t="n"/>
      <c r="M128" s="15" t="n"/>
      <c r="N128" s="25" t="n"/>
      <c r="O128" s="15" t="n"/>
      <c r="P128" s="25" t="n"/>
      <c r="Q128" s="15" t="n"/>
      <c r="R128" s="15" t="n"/>
    </row>
    <row r="129">
      <c r="A129" s="4">
        <f>IF(F129="","","OBS-"&amp;TEXT(ROW()-4,"000"))</f>
        <v/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17" t="n"/>
      <c r="L129" s="4" t="n"/>
      <c r="M129" s="15" t="n"/>
      <c r="N129" s="25" t="n"/>
      <c r="O129" s="15" t="n"/>
      <c r="P129" s="25" t="n"/>
      <c r="Q129" s="15" t="n"/>
      <c r="R129" s="15" t="n"/>
    </row>
    <row r="130">
      <c r="A130" s="4">
        <f>IF(F130="","","OBS-"&amp;TEXT(ROW()-4,"000"))</f>
        <v/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17" t="n"/>
      <c r="L130" s="4" t="n"/>
      <c r="M130" s="15" t="n"/>
      <c r="N130" s="25" t="n"/>
      <c r="O130" s="15" t="n"/>
      <c r="P130" s="25" t="n"/>
      <c r="Q130" s="15" t="n"/>
      <c r="R130" s="15" t="n"/>
    </row>
    <row r="131">
      <c r="A131" s="4">
        <f>IF(F131="","","OBS-"&amp;TEXT(ROW()-4,"000"))</f>
        <v/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17" t="n"/>
      <c r="L131" s="4" t="n"/>
      <c r="M131" s="15" t="n"/>
      <c r="N131" s="25" t="n"/>
      <c r="O131" s="15" t="n"/>
      <c r="P131" s="25" t="n"/>
      <c r="Q131" s="15" t="n"/>
      <c r="R131" s="15" t="n"/>
    </row>
    <row r="132">
      <c r="A132" s="4">
        <f>IF(F132="","","OBS-"&amp;TEXT(ROW()-4,"000"))</f>
        <v/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17" t="n"/>
      <c r="L132" s="4" t="n"/>
      <c r="M132" s="15" t="n"/>
      <c r="N132" s="25" t="n"/>
      <c r="O132" s="15" t="n"/>
      <c r="P132" s="25" t="n"/>
      <c r="Q132" s="15" t="n"/>
      <c r="R132" s="15" t="n"/>
    </row>
    <row r="133">
      <c r="A133" s="4">
        <f>IF(F133="","","OBS-"&amp;TEXT(ROW()-4,"000"))</f>
        <v/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17" t="n"/>
      <c r="L133" s="4" t="n"/>
      <c r="M133" s="15" t="n"/>
      <c r="N133" s="25" t="n"/>
      <c r="O133" s="15" t="n"/>
      <c r="P133" s="25" t="n"/>
      <c r="Q133" s="15" t="n"/>
      <c r="R133" s="15" t="n"/>
    </row>
    <row r="134">
      <c r="A134" s="4">
        <f>IF(F134="","","OBS-"&amp;TEXT(ROW()-4,"000"))</f>
        <v/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17" t="n"/>
      <c r="L134" s="4" t="n"/>
      <c r="M134" s="15" t="n"/>
      <c r="N134" s="25" t="n"/>
      <c r="O134" s="15" t="n"/>
      <c r="P134" s="25" t="n"/>
      <c r="Q134" s="15" t="n"/>
      <c r="R134" s="15" t="n"/>
    </row>
    <row r="135">
      <c r="A135" s="4">
        <f>IF(F135="","","OBS-"&amp;TEXT(ROW()-4,"000"))</f>
        <v/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17" t="n"/>
      <c r="L135" s="4" t="n"/>
      <c r="M135" s="15" t="n"/>
      <c r="N135" s="25" t="n"/>
      <c r="O135" s="15" t="n"/>
      <c r="P135" s="25" t="n"/>
      <c r="Q135" s="15" t="n"/>
      <c r="R135" s="15" t="n"/>
    </row>
    <row r="136">
      <c r="A136" s="4">
        <f>IF(F136="","","OBS-"&amp;TEXT(ROW()-4,"000"))</f>
        <v/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17" t="n"/>
      <c r="L136" s="4" t="n"/>
      <c r="M136" s="15" t="n"/>
      <c r="N136" s="25" t="n"/>
      <c r="O136" s="15" t="n"/>
      <c r="P136" s="25" t="n"/>
      <c r="Q136" s="15" t="n"/>
      <c r="R136" s="15" t="n"/>
    </row>
    <row r="137">
      <c r="A137" s="4">
        <f>IF(F137="","","OBS-"&amp;TEXT(ROW()-4,"000"))</f>
        <v/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17" t="n"/>
      <c r="L137" s="4" t="n"/>
      <c r="M137" s="15" t="n"/>
      <c r="N137" s="25" t="n"/>
      <c r="O137" s="15" t="n"/>
      <c r="P137" s="25" t="n"/>
      <c r="Q137" s="15" t="n"/>
      <c r="R137" s="15" t="n"/>
    </row>
    <row r="138">
      <c r="A138" s="4">
        <f>IF(F138="","","OBS-"&amp;TEXT(ROW()-4,"000"))</f>
        <v/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17" t="n"/>
      <c r="L138" s="4" t="n"/>
      <c r="M138" s="15" t="n"/>
      <c r="N138" s="25" t="n"/>
      <c r="O138" s="15" t="n"/>
      <c r="P138" s="25" t="n"/>
      <c r="Q138" s="15" t="n"/>
      <c r="R138" s="15" t="n"/>
    </row>
    <row r="139">
      <c r="A139" s="4">
        <f>IF(F139="","","OBS-"&amp;TEXT(ROW()-4,"000"))</f>
        <v/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17" t="n"/>
      <c r="L139" s="4" t="n"/>
      <c r="M139" s="15" t="n"/>
      <c r="N139" s="25" t="n"/>
      <c r="O139" s="15" t="n"/>
      <c r="P139" s="25" t="n"/>
      <c r="Q139" s="15" t="n"/>
      <c r="R139" s="15" t="n"/>
    </row>
    <row r="140">
      <c r="A140" s="4">
        <f>IF(F140="","","OBS-"&amp;TEXT(ROW()-4,"000"))</f>
        <v/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17" t="n"/>
      <c r="L140" s="4" t="n"/>
      <c r="M140" s="15" t="n"/>
      <c r="N140" s="25" t="n"/>
      <c r="O140" s="15" t="n"/>
      <c r="P140" s="25" t="n"/>
      <c r="Q140" s="15" t="n"/>
      <c r="R140" s="15" t="n"/>
    </row>
    <row r="141">
      <c r="A141" s="4">
        <f>IF(F141="","","OBS-"&amp;TEXT(ROW()-4,"000"))</f>
        <v/>
      </c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17" t="n"/>
      <c r="L141" s="4" t="n"/>
      <c r="M141" s="15" t="n"/>
      <c r="N141" s="25" t="n"/>
      <c r="O141" s="15" t="n"/>
      <c r="P141" s="25" t="n"/>
      <c r="Q141" s="15" t="n"/>
      <c r="R141" s="15" t="n"/>
    </row>
    <row r="142">
      <c r="A142" s="4">
        <f>IF(F142="","","OBS-"&amp;TEXT(ROW()-4,"000"))</f>
        <v/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17" t="n"/>
      <c r="L142" s="4" t="n"/>
      <c r="M142" s="15" t="n"/>
      <c r="N142" s="25" t="n"/>
      <c r="O142" s="15" t="n"/>
      <c r="P142" s="25" t="n"/>
      <c r="Q142" s="15" t="n"/>
      <c r="R142" s="15" t="n"/>
    </row>
    <row r="143">
      <c r="A143" s="4">
        <f>IF(F143="","","OBS-"&amp;TEXT(ROW()-4,"000"))</f>
        <v/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17" t="n"/>
      <c r="L143" s="4" t="n"/>
      <c r="M143" s="15" t="n"/>
      <c r="N143" s="25" t="n"/>
      <c r="O143" s="15" t="n"/>
      <c r="P143" s="25" t="n"/>
      <c r="Q143" s="15" t="n"/>
      <c r="R143" s="15" t="n"/>
    </row>
    <row r="144">
      <c r="A144" s="4">
        <f>IF(F144="","","OBS-"&amp;TEXT(ROW()-4,"000"))</f>
        <v/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17" t="n"/>
      <c r="L144" s="4" t="n"/>
      <c r="M144" s="15" t="n"/>
      <c r="N144" s="25" t="n"/>
      <c r="O144" s="15" t="n"/>
      <c r="P144" s="25" t="n"/>
      <c r="Q144" s="15" t="n"/>
      <c r="R144" s="15" t="n"/>
    </row>
    <row r="145">
      <c r="A145" s="4">
        <f>IF(F145="","","OBS-"&amp;TEXT(ROW()-4,"000"))</f>
        <v/>
      </c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17" t="n"/>
      <c r="L145" s="4" t="n"/>
      <c r="M145" s="15" t="n"/>
      <c r="N145" s="25" t="n"/>
      <c r="O145" s="15" t="n"/>
      <c r="P145" s="25" t="n"/>
      <c r="Q145" s="15" t="n"/>
      <c r="R145" s="15" t="n"/>
    </row>
    <row r="146">
      <c r="A146" s="4">
        <f>IF(F146="","","OBS-"&amp;TEXT(ROW()-4,"000"))</f>
        <v/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17" t="n"/>
      <c r="L146" s="4" t="n"/>
      <c r="M146" s="15" t="n"/>
      <c r="N146" s="25" t="n"/>
      <c r="O146" s="15" t="n"/>
      <c r="P146" s="25" t="n"/>
      <c r="Q146" s="15" t="n"/>
      <c r="R146" s="15" t="n"/>
    </row>
    <row r="147">
      <c r="A147" s="4">
        <f>IF(F147="","","OBS-"&amp;TEXT(ROW()-4,"000"))</f>
        <v/>
      </c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17" t="n"/>
      <c r="L147" s="4" t="n"/>
      <c r="M147" s="15" t="n"/>
      <c r="N147" s="25" t="n"/>
      <c r="O147" s="15" t="n"/>
      <c r="P147" s="25" t="n"/>
      <c r="Q147" s="15" t="n"/>
      <c r="R147" s="15" t="n"/>
    </row>
    <row r="148">
      <c r="A148" s="4">
        <f>IF(F148="","","OBS-"&amp;TEXT(ROW()-4,"000"))</f>
        <v/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17" t="n"/>
      <c r="L148" s="4" t="n"/>
      <c r="M148" s="15" t="n"/>
      <c r="N148" s="25" t="n"/>
      <c r="O148" s="15" t="n"/>
      <c r="P148" s="25" t="n"/>
      <c r="Q148" s="15" t="n"/>
      <c r="R148" s="15" t="n"/>
    </row>
    <row r="149">
      <c r="A149" s="4">
        <f>IF(F149="","","OBS-"&amp;TEXT(ROW()-4,"000"))</f>
        <v/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17" t="n"/>
      <c r="L149" s="4" t="n"/>
      <c r="M149" s="15" t="n"/>
      <c r="N149" s="25" t="n"/>
      <c r="O149" s="15" t="n"/>
      <c r="P149" s="25" t="n"/>
      <c r="Q149" s="15" t="n"/>
      <c r="R149" s="15" t="n"/>
    </row>
    <row r="150">
      <c r="A150" s="4">
        <f>IF(F150="","","OBS-"&amp;TEXT(ROW()-4,"000"))</f>
        <v/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17" t="n"/>
      <c r="L150" s="4" t="n"/>
      <c r="M150" s="15" t="n"/>
      <c r="N150" s="25" t="n"/>
      <c r="O150" s="15" t="n"/>
      <c r="P150" s="25" t="n"/>
      <c r="Q150" s="15" t="n"/>
      <c r="R150" s="15" t="n"/>
    </row>
    <row r="151">
      <c r="A151" s="4">
        <f>IF(F151="","","OBS-"&amp;TEXT(ROW()-4,"000"))</f>
        <v/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17" t="n"/>
      <c r="L151" s="4" t="n"/>
      <c r="M151" s="15" t="n"/>
      <c r="N151" s="25" t="n"/>
      <c r="O151" s="15" t="n"/>
      <c r="P151" s="25" t="n"/>
      <c r="Q151" s="15" t="n"/>
      <c r="R151" s="15" t="n"/>
    </row>
    <row r="152">
      <c r="A152" s="4">
        <f>IF(F152="","","OBS-"&amp;TEXT(ROW()-4,"000"))</f>
        <v/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17" t="n"/>
      <c r="L152" s="4" t="n"/>
      <c r="M152" s="15" t="n"/>
      <c r="N152" s="25" t="n"/>
      <c r="O152" s="15" t="n"/>
      <c r="P152" s="25" t="n"/>
      <c r="Q152" s="15" t="n"/>
      <c r="R152" s="15" t="n"/>
    </row>
    <row r="153">
      <c r="A153" s="4">
        <f>IF(F153="","","OBS-"&amp;TEXT(ROW()-4,"000"))</f>
        <v/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17" t="n"/>
      <c r="L153" s="4" t="n"/>
      <c r="M153" s="15" t="n"/>
      <c r="N153" s="25" t="n"/>
      <c r="O153" s="15" t="n"/>
      <c r="P153" s="25" t="n"/>
      <c r="Q153" s="15" t="n"/>
      <c r="R153" s="15" t="n"/>
    </row>
    <row r="154">
      <c r="A154" s="4">
        <f>IF(F154="","","OBS-"&amp;TEXT(ROW()-4,"000"))</f>
        <v/>
      </c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17" t="n"/>
      <c r="L154" s="4" t="n"/>
      <c r="M154" s="15" t="n"/>
      <c r="N154" s="25" t="n"/>
      <c r="O154" s="15" t="n"/>
      <c r="P154" s="25" t="n"/>
      <c r="Q154" s="15" t="n"/>
      <c r="R154" s="15" t="n"/>
    </row>
    <row r="155">
      <c r="A155" s="4">
        <f>IF(F155="","","OBS-"&amp;TEXT(ROW()-4,"000"))</f>
        <v/>
      </c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17" t="n"/>
      <c r="L155" s="4" t="n"/>
      <c r="M155" s="15" t="n"/>
      <c r="N155" s="25" t="n"/>
      <c r="O155" s="15" t="n"/>
      <c r="P155" s="25" t="n"/>
      <c r="Q155" s="15" t="n"/>
      <c r="R155" s="15" t="n"/>
    </row>
    <row r="156">
      <c r="A156" s="4">
        <f>IF(F156="","","OBS-"&amp;TEXT(ROW()-4,"000"))</f>
        <v/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17" t="n"/>
      <c r="L156" s="4" t="n"/>
      <c r="M156" s="15" t="n"/>
      <c r="N156" s="25" t="n"/>
      <c r="O156" s="15" t="n"/>
      <c r="P156" s="25" t="n"/>
      <c r="Q156" s="15" t="n"/>
      <c r="R156" s="15" t="n"/>
    </row>
    <row r="157">
      <c r="A157" s="4">
        <f>IF(F157="","","OBS-"&amp;TEXT(ROW()-4,"000"))</f>
        <v/>
      </c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17" t="n"/>
      <c r="L157" s="4" t="n"/>
      <c r="M157" s="15" t="n"/>
      <c r="N157" s="25" t="n"/>
      <c r="O157" s="15" t="n"/>
      <c r="P157" s="25" t="n"/>
      <c r="Q157" s="15" t="n"/>
      <c r="R157" s="15" t="n"/>
    </row>
    <row r="158">
      <c r="A158" s="4">
        <f>IF(F158="","","OBS-"&amp;TEXT(ROW()-4,"000"))</f>
        <v/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17" t="n"/>
      <c r="L158" s="4" t="n"/>
      <c r="M158" s="15" t="n"/>
      <c r="N158" s="25" t="n"/>
      <c r="O158" s="15" t="n"/>
      <c r="P158" s="25" t="n"/>
      <c r="Q158" s="15" t="n"/>
      <c r="R158" s="15" t="n"/>
    </row>
    <row r="159">
      <c r="A159" s="4">
        <f>IF(F159="","","OBS-"&amp;TEXT(ROW()-4,"000"))</f>
        <v/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17" t="n"/>
      <c r="L159" s="4" t="n"/>
      <c r="M159" s="15" t="n"/>
      <c r="N159" s="25" t="n"/>
      <c r="O159" s="15" t="n"/>
      <c r="P159" s="25" t="n"/>
      <c r="Q159" s="15" t="n"/>
      <c r="R159" s="15" t="n"/>
    </row>
    <row r="160">
      <c r="A160" s="4">
        <f>IF(F160="","","OBS-"&amp;TEXT(ROW()-4,"000"))</f>
        <v/>
      </c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17" t="n"/>
      <c r="L160" s="4" t="n"/>
      <c r="M160" s="15" t="n"/>
      <c r="N160" s="25" t="n"/>
      <c r="O160" s="15" t="n"/>
      <c r="P160" s="25" t="n"/>
      <c r="Q160" s="15" t="n"/>
      <c r="R160" s="15" t="n"/>
    </row>
    <row r="161">
      <c r="A161" s="4">
        <f>IF(F161="","","OBS-"&amp;TEXT(ROW()-4,"000"))</f>
        <v/>
      </c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17" t="n"/>
      <c r="L161" s="4" t="n"/>
      <c r="M161" s="15" t="n"/>
      <c r="N161" s="25" t="n"/>
      <c r="O161" s="15" t="n"/>
      <c r="P161" s="25" t="n"/>
      <c r="Q161" s="15" t="n"/>
      <c r="R161" s="15" t="n"/>
    </row>
    <row r="162">
      <c r="A162" s="4">
        <f>IF(F162="","","OBS-"&amp;TEXT(ROW()-4,"000"))</f>
        <v/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17" t="n"/>
      <c r="L162" s="4" t="n"/>
      <c r="M162" s="15" t="n"/>
      <c r="N162" s="25" t="n"/>
      <c r="O162" s="15" t="n"/>
      <c r="P162" s="25" t="n"/>
      <c r="Q162" s="15" t="n"/>
      <c r="R162" s="15" t="n"/>
    </row>
    <row r="163">
      <c r="A163" s="4">
        <f>IF(F163="","","OBS-"&amp;TEXT(ROW()-4,"000"))</f>
        <v/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17" t="n"/>
      <c r="L163" s="4" t="n"/>
      <c r="M163" s="15" t="n"/>
      <c r="N163" s="25" t="n"/>
      <c r="O163" s="15" t="n"/>
      <c r="P163" s="25" t="n"/>
      <c r="Q163" s="15" t="n"/>
      <c r="R163" s="15" t="n"/>
    </row>
    <row r="164">
      <c r="A164" s="4">
        <f>IF(F164="","","OBS-"&amp;TEXT(ROW()-4,"000"))</f>
        <v/>
      </c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17" t="n"/>
      <c r="L164" s="4" t="n"/>
      <c r="M164" s="15" t="n"/>
      <c r="N164" s="25" t="n"/>
      <c r="O164" s="15" t="n"/>
      <c r="P164" s="25" t="n"/>
      <c r="Q164" s="15" t="n"/>
      <c r="R164" s="15" t="n"/>
    </row>
    <row r="165">
      <c r="A165" s="4">
        <f>IF(F165="","","OBS-"&amp;TEXT(ROW()-4,"000"))</f>
        <v/>
      </c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17" t="n"/>
      <c r="L165" s="4" t="n"/>
      <c r="M165" s="15" t="n"/>
      <c r="N165" s="25" t="n"/>
      <c r="O165" s="15" t="n"/>
      <c r="P165" s="25" t="n"/>
      <c r="Q165" s="15" t="n"/>
      <c r="R165" s="15" t="n"/>
    </row>
    <row r="166">
      <c r="A166" s="4">
        <f>IF(F166="","","OBS-"&amp;TEXT(ROW()-4,"000"))</f>
        <v/>
      </c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17" t="n"/>
      <c r="L166" s="4" t="n"/>
      <c r="M166" s="15" t="n"/>
      <c r="N166" s="25" t="n"/>
      <c r="O166" s="15" t="n"/>
      <c r="P166" s="25" t="n"/>
      <c r="Q166" s="15" t="n"/>
      <c r="R166" s="15" t="n"/>
    </row>
    <row r="167">
      <c r="A167" s="4">
        <f>IF(F167="","","OBS-"&amp;TEXT(ROW()-4,"000"))</f>
        <v/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17" t="n"/>
      <c r="L167" s="4" t="n"/>
      <c r="M167" s="15" t="n"/>
      <c r="N167" s="25" t="n"/>
      <c r="O167" s="15" t="n"/>
      <c r="P167" s="25" t="n"/>
      <c r="Q167" s="15" t="n"/>
      <c r="R167" s="15" t="n"/>
    </row>
    <row r="168">
      <c r="A168" s="4">
        <f>IF(F168="","","OBS-"&amp;TEXT(ROW()-4,"000"))</f>
        <v/>
      </c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17" t="n"/>
      <c r="L168" s="4" t="n"/>
      <c r="M168" s="15" t="n"/>
      <c r="N168" s="25" t="n"/>
      <c r="O168" s="15" t="n"/>
      <c r="P168" s="25" t="n"/>
      <c r="Q168" s="15" t="n"/>
      <c r="R168" s="15" t="n"/>
    </row>
    <row r="169">
      <c r="A169" s="4">
        <f>IF(F169="","","OBS-"&amp;TEXT(ROW()-4,"000"))</f>
        <v/>
      </c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17" t="n"/>
      <c r="L169" s="4" t="n"/>
      <c r="M169" s="15" t="n"/>
      <c r="N169" s="25" t="n"/>
      <c r="O169" s="15" t="n"/>
      <c r="P169" s="25" t="n"/>
      <c r="Q169" s="15" t="n"/>
      <c r="R169" s="15" t="n"/>
    </row>
    <row r="170">
      <c r="A170" s="4">
        <f>IF(F170="","","OBS-"&amp;TEXT(ROW()-4,"000"))</f>
        <v/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17" t="n"/>
      <c r="L170" s="4" t="n"/>
      <c r="M170" s="15" t="n"/>
      <c r="N170" s="25" t="n"/>
      <c r="O170" s="15" t="n"/>
      <c r="P170" s="25" t="n"/>
      <c r="Q170" s="15" t="n"/>
      <c r="R170" s="15" t="n"/>
    </row>
    <row r="171">
      <c r="A171" s="4">
        <f>IF(F171="","","OBS-"&amp;TEXT(ROW()-4,"000"))</f>
        <v/>
      </c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17" t="n"/>
      <c r="L171" s="4" t="n"/>
      <c r="M171" s="15" t="n"/>
      <c r="N171" s="25" t="n"/>
      <c r="O171" s="15" t="n"/>
      <c r="P171" s="25" t="n"/>
      <c r="Q171" s="15" t="n"/>
      <c r="R171" s="15" t="n"/>
    </row>
    <row r="172">
      <c r="A172" s="4">
        <f>IF(F172="","","OBS-"&amp;TEXT(ROW()-4,"000"))</f>
        <v/>
      </c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17" t="n"/>
      <c r="L172" s="4" t="n"/>
      <c r="M172" s="15" t="n"/>
      <c r="N172" s="25" t="n"/>
      <c r="O172" s="15" t="n"/>
      <c r="P172" s="25" t="n"/>
      <c r="Q172" s="15" t="n"/>
      <c r="R172" s="15" t="n"/>
    </row>
    <row r="173">
      <c r="A173" s="4">
        <f>IF(F173="","","OBS-"&amp;TEXT(ROW()-4,"000"))</f>
        <v/>
      </c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17" t="n"/>
      <c r="L173" s="4" t="n"/>
      <c r="M173" s="15" t="n"/>
      <c r="N173" s="25" t="n"/>
      <c r="O173" s="15" t="n"/>
      <c r="P173" s="25" t="n"/>
      <c r="Q173" s="15" t="n"/>
      <c r="R173" s="15" t="n"/>
    </row>
    <row r="174">
      <c r="A174" s="4">
        <f>IF(F174="","","OBS-"&amp;TEXT(ROW()-4,"000"))</f>
        <v/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17" t="n"/>
      <c r="L174" s="4" t="n"/>
      <c r="M174" s="15" t="n"/>
      <c r="N174" s="25" t="n"/>
      <c r="O174" s="15" t="n"/>
      <c r="P174" s="25" t="n"/>
      <c r="Q174" s="15" t="n"/>
      <c r="R174" s="15" t="n"/>
    </row>
    <row r="175">
      <c r="A175" s="4">
        <f>IF(F175="","","OBS-"&amp;TEXT(ROW()-4,"000"))</f>
        <v/>
      </c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17" t="n"/>
      <c r="L175" s="4" t="n"/>
      <c r="M175" s="15" t="n"/>
      <c r="N175" s="25" t="n"/>
      <c r="O175" s="15" t="n"/>
      <c r="P175" s="25" t="n"/>
      <c r="Q175" s="15" t="n"/>
      <c r="R175" s="15" t="n"/>
    </row>
    <row r="176">
      <c r="A176" s="4">
        <f>IF(F176="","","OBS-"&amp;TEXT(ROW()-4,"000"))</f>
        <v/>
      </c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17" t="n"/>
      <c r="L176" s="4" t="n"/>
      <c r="M176" s="15" t="n"/>
      <c r="N176" s="25" t="n"/>
      <c r="O176" s="15" t="n"/>
      <c r="P176" s="25" t="n"/>
      <c r="Q176" s="15" t="n"/>
      <c r="R176" s="15" t="n"/>
    </row>
    <row r="177">
      <c r="A177" s="4">
        <f>IF(F177="","","OBS-"&amp;TEXT(ROW()-4,"000"))</f>
        <v/>
      </c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17" t="n"/>
      <c r="L177" s="4" t="n"/>
      <c r="M177" s="15" t="n"/>
      <c r="N177" s="25" t="n"/>
      <c r="O177" s="15" t="n"/>
      <c r="P177" s="25" t="n"/>
      <c r="Q177" s="15" t="n"/>
      <c r="R177" s="15" t="n"/>
    </row>
    <row r="178">
      <c r="A178" s="4">
        <f>IF(F178="","","OBS-"&amp;TEXT(ROW()-4,"000"))</f>
        <v/>
      </c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17" t="n"/>
      <c r="L178" s="4" t="n"/>
      <c r="M178" s="15" t="n"/>
      <c r="N178" s="25" t="n"/>
      <c r="O178" s="15" t="n"/>
      <c r="P178" s="25" t="n"/>
      <c r="Q178" s="15" t="n"/>
      <c r="R178" s="15" t="n"/>
    </row>
    <row r="179">
      <c r="A179" s="4">
        <f>IF(F179="","","OBS-"&amp;TEXT(ROW()-4,"000"))</f>
        <v/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17" t="n"/>
      <c r="L179" s="4" t="n"/>
      <c r="M179" s="15" t="n"/>
      <c r="N179" s="25" t="n"/>
      <c r="O179" s="15" t="n"/>
      <c r="P179" s="25" t="n"/>
      <c r="Q179" s="15" t="n"/>
      <c r="R179" s="15" t="n"/>
    </row>
    <row r="180">
      <c r="A180" s="4">
        <f>IF(F180="","","OBS-"&amp;TEXT(ROW()-4,"000"))</f>
        <v/>
      </c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17" t="n"/>
      <c r="L180" s="4" t="n"/>
      <c r="M180" s="15" t="n"/>
      <c r="N180" s="25" t="n"/>
      <c r="O180" s="15" t="n"/>
      <c r="P180" s="25" t="n"/>
      <c r="Q180" s="15" t="n"/>
      <c r="R180" s="15" t="n"/>
    </row>
    <row r="181">
      <c r="A181" s="4">
        <f>IF(F181="","","OBS-"&amp;TEXT(ROW()-4,"000"))</f>
        <v/>
      </c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17" t="n"/>
      <c r="L181" s="4" t="n"/>
      <c r="M181" s="15" t="n"/>
      <c r="N181" s="25" t="n"/>
      <c r="O181" s="15" t="n"/>
      <c r="P181" s="25" t="n"/>
      <c r="Q181" s="15" t="n"/>
      <c r="R181" s="15" t="n"/>
    </row>
    <row r="182">
      <c r="A182" s="4">
        <f>IF(F182="","","OBS-"&amp;TEXT(ROW()-4,"000"))</f>
        <v/>
      </c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17" t="n"/>
      <c r="L182" s="4" t="n"/>
      <c r="M182" s="15" t="n"/>
      <c r="N182" s="25" t="n"/>
      <c r="O182" s="15" t="n"/>
      <c r="P182" s="25" t="n"/>
      <c r="Q182" s="15" t="n"/>
      <c r="R182" s="15" t="n"/>
    </row>
    <row r="183">
      <c r="A183" s="4">
        <f>IF(F183="","","OBS-"&amp;TEXT(ROW()-4,"000"))</f>
        <v/>
      </c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17" t="n"/>
      <c r="L183" s="4" t="n"/>
      <c r="M183" s="15" t="n"/>
      <c r="N183" s="25" t="n"/>
      <c r="O183" s="15" t="n"/>
      <c r="P183" s="25" t="n"/>
      <c r="Q183" s="15" t="n"/>
      <c r="R183" s="15" t="n"/>
    </row>
    <row r="184">
      <c r="A184" s="4">
        <f>IF(F184="","","OBS-"&amp;TEXT(ROW()-4,"000"))</f>
        <v/>
      </c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17" t="n"/>
      <c r="L184" s="4" t="n"/>
      <c r="M184" s="15" t="n"/>
      <c r="N184" s="25" t="n"/>
      <c r="O184" s="15" t="n"/>
      <c r="P184" s="25" t="n"/>
      <c r="Q184" s="15" t="n"/>
      <c r="R184" s="15" t="n"/>
    </row>
    <row r="185">
      <c r="A185" s="4">
        <f>IF(F185="","","OBS-"&amp;TEXT(ROW()-4,"000"))</f>
        <v/>
      </c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17" t="n"/>
      <c r="L185" s="4" t="n"/>
      <c r="M185" s="15" t="n"/>
      <c r="N185" s="25" t="n"/>
      <c r="O185" s="15" t="n"/>
      <c r="P185" s="25" t="n"/>
      <c r="Q185" s="15" t="n"/>
      <c r="R185" s="15" t="n"/>
    </row>
    <row r="186">
      <c r="A186" s="4">
        <f>IF(F186="","","OBS-"&amp;TEXT(ROW()-4,"000"))</f>
        <v/>
      </c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17" t="n"/>
      <c r="L186" s="4" t="n"/>
      <c r="M186" s="15" t="n"/>
      <c r="N186" s="25" t="n"/>
      <c r="O186" s="15" t="n"/>
      <c r="P186" s="25" t="n"/>
      <c r="Q186" s="15" t="n"/>
      <c r="R186" s="15" t="n"/>
    </row>
    <row r="187">
      <c r="A187" s="4">
        <f>IF(F187="","","OBS-"&amp;TEXT(ROW()-4,"000"))</f>
        <v/>
      </c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17" t="n"/>
      <c r="L187" s="4" t="n"/>
      <c r="M187" s="15" t="n"/>
      <c r="N187" s="25" t="n"/>
      <c r="O187" s="15" t="n"/>
      <c r="P187" s="25" t="n"/>
      <c r="Q187" s="15" t="n"/>
      <c r="R187" s="15" t="n"/>
    </row>
    <row r="188">
      <c r="A188" s="4">
        <f>IF(F188="","","OBS-"&amp;TEXT(ROW()-4,"000"))</f>
        <v/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17" t="n"/>
      <c r="L188" s="4" t="n"/>
      <c r="M188" s="15" t="n"/>
      <c r="N188" s="25" t="n"/>
      <c r="O188" s="15" t="n"/>
      <c r="P188" s="25" t="n"/>
      <c r="Q188" s="15" t="n"/>
      <c r="R188" s="15" t="n"/>
    </row>
    <row r="189">
      <c r="A189" s="4">
        <f>IF(F189="","","OBS-"&amp;TEXT(ROW()-4,"000"))</f>
        <v/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17" t="n"/>
      <c r="L189" s="4" t="n"/>
      <c r="M189" s="15" t="n"/>
      <c r="N189" s="25" t="n"/>
      <c r="O189" s="15" t="n"/>
      <c r="P189" s="25" t="n"/>
      <c r="Q189" s="15" t="n"/>
      <c r="R189" s="15" t="n"/>
    </row>
    <row r="190">
      <c r="A190" s="4">
        <f>IF(F190="","","OBS-"&amp;TEXT(ROW()-4,"000"))</f>
        <v/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17" t="n"/>
      <c r="L190" s="4" t="n"/>
      <c r="M190" s="15" t="n"/>
      <c r="N190" s="25" t="n"/>
      <c r="O190" s="15" t="n"/>
      <c r="P190" s="25" t="n"/>
      <c r="Q190" s="15" t="n"/>
      <c r="R190" s="15" t="n"/>
    </row>
    <row r="191">
      <c r="A191" s="4">
        <f>IF(F191="","","OBS-"&amp;TEXT(ROW()-4,"000"))</f>
        <v/>
      </c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17" t="n"/>
      <c r="L191" s="4" t="n"/>
      <c r="M191" s="15" t="n"/>
      <c r="N191" s="25" t="n"/>
      <c r="O191" s="15" t="n"/>
      <c r="P191" s="25" t="n"/>
      <c r="Q191" s="15" t="n"/>
      <c r="R191" s="15" t="n"/>
    </row>
    <row r="192">
      <c r="A192" s="4">
        <f>IF(F192="","","OBS-"&amp;TEXT(ROW()-4,"000"))</f>
        <v/>
      </c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17" t="n"/>
      <c r="L192" s="4" t="n"/>
      <c r="M192" s="15" t="n"/>
      <c r="N192" s="25" t="n"/>
      <c r="O192" s="15" t="n"/>
      <c r="P192" s="25" t="n"/>
      <c r="Q192" s="15" t="n"/>
      <c r="R192" s="15" t="n"/>
    </row>
    <row r="193">
      <c r="A193" s="4">
        <f>IF(F193="","","OBS-"&amp;TEXT(ROW()-4,"000"))</f>
        <v/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17" t="n"/>
      <c r="L193" s="4" t="n"/>
      <c r="M193" s="15" t="n"/>
      <c r="N193" s="25" t="n"/>
      <c r="O193" s="15" t="n"/>
      <c r="P193" s="25" t="n"/>
      <c r="Q193" s="15" t="n"/>
      <c r="R193" s="15" t="n"/>
    </row>
    <row r="194">
      <c r="A194" s="4">
        <f>IF(F194="","","OBS-"&amp;TEXT(ROW()-4,"000"))</f>
        <v/>
      </c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17" t="n"/>
      <c r="L194" s="4" t="n"/>
      <c r="M194" s="15" t="n"/>
      <c r="N194" s="25" t="n"/>
      <c r="O194" s="15" t="n"/>
      <c r="P194" s="25" t="n"/>
      <c r="Q194" s="15" t="n"/>
      <c r="R194" s="15" t="n"/>
    </row>
    <row r="195">
      <c r="A195" s="4">
        <f>IF(F195="","","OBS-"&amp;TEXT(ROW()-4,"000"))</f>
        <v/>
      </c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17" t="n"/>
      <c r="L195" s="4" t="n"/>
      <c r="M195" s="15" t="n"/>
      <c r="N195" s="25" t="n"/>
      <c r="O195" s="15" t="n"/>
      <c r="P195" s="25" t="n"/>
      <c r="Q195" s="15" t="n"/>
      <c r="R195" s="15" t="n"/>
    </row>
    <row r="196">
      <c r="A196" s="4">
        <f>IF(F196="","","OBS-"&amp;TEXT(ROW()-4,"000"))</f>
        <v/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17" t="n"/>
      <c r="L196" s="4" t="n"/>
      <c r="M196" s="15" t="n"/>
      <c r="N196" s="25" t="n"/>
      <c r="O196" s="15" t="n"/>
      <c r="P196" s="25" t="n"/>
      <c r="Q196" s="15" t="n"/>
      <c r="R196" s="15" t="n"/>
    </row>
    <row r="197">
      <c r="A197" s="4">
        <f>IF(F197="","","OBS-"&amp;TEXT(ROW()-4,"000"))</f>
        <v/>
      </c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17" t="n"/>
      <c r="L197" s="4" t="n"/>
      <c r="M197" s="15" t="n"/>
      <c r="N197" s="25" t="n"/>
      <c r="O197" s="15" t="n"/>
      <c r="P197" s="25" t="n"/>
      <c r="Q197" s="15" t="n"/>
      <c r="R197" s="15" t="n"/>
    </row>
    <row r="198">
      <c r="A198" s="4">
        <f>IF(F198="","","OBS-"&amp;TEXT(ROW()-4,"000"))</f>
        <v/>
      </c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17" t="n"/>
      <c r="L198" s="4" t="n"/>
      <c r="M198" s="15" t="n"/>
      <c r="N198" s="25" t="n"/>
      <c r="O198" s="15" t="n"/>
      <c r="P198" s="25" t="n"/>
      <c r="Q198" s="15" t="n"/>
      <c r="R198" s="15" t="n"/>
    </row>
    <row r="199">
      <c r="A199" s="4">
        <f>IF(F199="","","OBS-"&amp;TEXT(ROW()-4,"000"))</f>
        <v/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17" t="n"/>
      <c r="L199" s="4" t="n"/>
      <c r="M199" s="15" t="n"/>
      <c r="N199" s="25" t="n"/>
      <c r="O199" s="15" t="n"/>
      <c r="P199" s="25" t="n"/>
      <c r="Q199" s="15" t="n"/>
      <c r="R199" s="15" t="n"/>
    </row>
    <row r="200">
      <c r="A200" s="4">
        <f>IF(F200="","","OBS-"&amp;TEXT(ROW()-4,"000"))</f>
        <v/>
      </c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17" t="n"/>
      <c r="L200" s="4" t="n"/>
      <c r="M200" s="15" t="n"/>
      <c r="N200" s="25" t="n"/>
      <c r="O200" s="15" t="n"/>
      <c r="P200" s="25" t="n"/>
      <c r="Q200" s="15" t="n"/>
      <c r="R200" s="15" t="n"/>
    </row>
    <row r="201">
      <c r="A201" s="4">
        <f>IF(F201="","","OBS-"&amp;TEXT(ROW()-4,"000"))</f>
        <v/>
      </c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17" t="n"/>
      <c r="L201" s="4" t="n"/>
      <c r="M201" s="15" t="n"/>
      <c r="N201" s="25" t="n"/>
      <c r="O201" s="15" t="n"/>
      <c r="P201" s="25" t="n"/>
      <c r="Q201" s="15" t="n"/>
      <c r="R201" s="15" t="n"/>
    </row>
    <row r="202">
      <c r="A202" s="4">
        <f>IF(F202="","","OBS-"&amp;TEXT(ROW()-4,"000"))</f>
        <v/>
      </c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17" t="n"/>
      <c r="L202" s="4" t="n"/>
      <c r="M202" s="15" t="n"/>
      <c r="N202" s="25" t="n"/>
      <c r="O202" s="15" t="n"/>
      <c r="P202" s="25" t="n"/>
      <c r="Q202" s="15" t="n"/>
      <c r="R202" s="15" t="n"/>
    </row>
    <row r="203">
      <c r="A203" s="4">
        <f>IF(F203="","","OBS-"&amp;TEXT(ROW()-4,"000"))</f>
        <v/>
      </c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17" t="n"/>
      <c r="L203" s="4" t="n"/>
      <c r="M203" s="15" t="n"/>
      <c r="N203" s="25" t="n"/>
      <c r="O203" s="15" t="n"/>
      <c r="P203" s="25" t="n"/>
      <c r="Q203" s="15" t="n"/>
      <c r="R203" s="15" t="n"/>
    </row>
    <row r="204">
      <c r="A204" s="4">
        <f>IF(F204="","","OBS-"&amp;TEXT(ROW()-4,"000"))</f>
        <v/>
      </c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17" t="n"/>
      <c r="L204" s="4" t="n"/>
      <c r="M204" s="15" t="n"/>
      <c r="N204" s="25" t="n"/>
      <c r="O204" s="15" t="n"/>
      <c r="P204" s="25" t="n"/>
      <c r="Q204" s="15" t="n"/>
      <c r="R204" s="15" t="n"/>
    </row>
  </sheetData>
  <autoFilter ref="A4:R204"/>
  <dataValidations count="4">
    <dataValidation sqref="E5:E204" showDropDown="0" showInputMessage="0" showErrorMessage="0" allowBlank="1" type="list">
      <formula1>=Listas!$A$2:$A$6</formula1>
    </dataValidation>
    <dataValidation sqref="J5:J204" showDropDown="0" showInputMessage="0" showErrorMessage="0" allowBlank="1" type="list">
      <formula1>=Listas!$B$2:$B$4</formula1>
    </dataValidation>
    <dataValidation sqref="O5:O204" showDropDown="0" showInputMessage="0" showErrorMessage="0" allowBlank="1" type="list">
      <formula1>=Listas!$C$2:$C$6</formula1>
    </dataValidation>
    <dataValidation sqref="B5:B204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60" customWidth="1" min="3" max="3"/>
    <col width="16" customWidth="1" min="4" max="4"/>
    <col width="60" customWidth="1" min="5" max="5"/>
  </cols>
  <sheetData>
    <row r="1" ht="22" customHeight="1">
      <c r="D1" s="1" t="inlineStr">
        <is>
          <t>Documentos revisados y documentos pendientes</t>
        </is>
      </c>
    </row>
    <row r="2" ht="22" customHeight="1">
      <c r="D2" s="2" t="inlineStr">
        <is>
          <t>Control de entregas del contratista.</t>
        </is>
      </c>
    </row>
    <row r="4" ht="32" customHeight="1">
      <c r="A4" s="7" t="inlineStr">
        <is>
          <t>#</t>
        </is>
      </c>
      <c r="B4" s="7" t="inlineStr">
        <is>
          <t>Documento</t>
        </is>
      </c>
      <c r="C4" s="7" t="inlineStr">
        <is>
          <t>Archivo / origen</t>
        </is>
      </c>
      <c r="D4" s="7" t="inlineStr">
        <is>
          <t>Estado</t>
        </is>
      </c>
      <c r="E4" s="7" t="inlineStr">
        <is>
          <t>Observación</t>
        </is>
      </c>
    </row>
    <row r="5">
      <c r="A5" s="4" t="n">
        <v>1</v>
      </c>
      <c r="B5" s="4" t="inlineStr">
        <is>
          <t>Acta de mayores y menores cantidades e ítems nuevos – hoja 1 (corte 15-10-26)</t>
        </is>
      </c>
      <c r="C5" s="4" t="inlineStr">
        <is>
          <t>ACT ELECTRICO 15-10-26.xlsx</t>
        </is>
      </c>
      <c r="D5" s="4" t="inlineStr">
        <is>
          <t>Revisado</t>
        </is>
      </c>
      <c r="E5" s="4" t="inlineStr">
        <is>
          <t>Cap. 4 e IN14.</t>
        </is>
      </c>
    </row>
    <row r="6">
      <c r="A6" s="4" t="n">
        <v>2</v>
      </c>
      <c r="B6" s="4" t="inlineStr">
        <is>
          <t>Plano 01 – Iluminación Cancha de Fútbol 9 (V2)</t>
        </is>
      </c>
      <c r="C6" s="4" t="inlineStr">
        <is>
          <t>26HO068 … FUTBOL 9 – PLANO 01.pdf</t>
        </is>
      </c>
      <c r="D6" s="4" t="inlineStr">
        <is>
          <t>Revisado</t>
        </is>
      </c>
      <c r="E6" s="4" t="inlineStr">
        <is>
          <t>Sin firma del diseñador.</t>
        </is>
      </c>
    </row>
    <row r="7">
      <c r="A7" s="4" t="n">
        <v>3</v>
      </c>
      <c r="B7" s="4" t="inlineStr">
        <is>
          <t>Plano 02 – Iluminación Cancha Múltiple (V2)</t>
        </is>
      </c>
      <c r="C7" s="4" t="inlineStr">
        <is>
          <t>26HO068 … MULTIPLE – PLANO 02.pdf</t>
        </is>
      </c>
      <c r="D7" s="4" t="inlineStr">
        <is>
          <t>Revisado</t>
        </is>
      </c>
      <c r="E7" s="4" t="inlineStr">
        <is>
          <t>Recibido dos veces (idéntico).</t>
        </is>
      </c>
    </row>
    <row r="8">
      <c r="A8" s="4" t="n">
        <v>4</v>
      </c>
      <c r="B8" s="4" t="inlineStr">
        <is>
          <t>Informe DIALux – Cancha Múltiple (V2)</t>
        </is>
      </c>
      <c r="C8" s="4" t="inlineStr">
        <is>
          <t>26HO068 … MULTIPLE – V2 Informe.pdf</t>
        </is>
      </c>
      <c r="D8" s="4" t="inlineStr">
        <is>
          <t>Revisado</t>
        </is>
      </c>
      <c r="E8" s="4" t="inlineStr">
        <is>
          <t>Fotometría definida por el usuario.</t>
        </is>
      </c>
    </row>
    <row r="9">
      <c r="A9" s="4" t="n">
        <v>5</v>
      </c>
      <c r="B9" s="4" t="inlineStr">
        <is>
          <t>DXF de redes eléctricas (Dibujo1)</t>
        </is>
      </c>
      <c r="C9" s="4" t="inlineStr">
        <is>
          <t>Dibujo1.dxf</t>
        </is>
      </c>
      <c r="D9" s="4" t="inlineStr">
        <is>
          <t>Revisado</t>
        </is>
      </c>
      <c r="E9" s="4" t="inlineStr">
        <is>
          <t>Metrajes por polilíneas, incompletos (BT-05).</t>
        </is>
      </c>
    </row>
    <row r="10">
      <c r="A10" s="4" t="n">
        <v>6</v>
      </c>
      <c r="B10" s="4" t="inlineStr">
        <is>
          <t>Cuadros de carga y cálculos eléctricos (regulación y ductería)</t>
        </is>
      </c>
      <c r="C10" s="4" t="inlineStr">
        <is>
          <t>Cuadros de Carga y Calculos Electricos.xlsx</t>
        </is>
      </c>
      <c r="D10" s="4" t="inlineStr">
        <is>
          <t>Revisado</t>
        </is>
      </c>
      <c r="E10" s="4" t="inlineStr">
        <is>
          <t>Errores de fórmula (γ y secciones).</t>
        </is>
      </c>
    </row>
    <row r="11">
      <c r="A11" s="4" t="n">
        <v>7</v>
      </c>
      <c r="B11" s="4" t="inlineStr">
        <is>
          <t>Diagrama unifilar</t>
        </is>
      </c>
      <c r="C11" s="4" t="inlineStr">
        <is>
          <t>Doc1.docx (imágenes)</t>
        </is>
      </c>
      <c r="D11" s="4" t="inlineStr">
        <is>
          <t>Revisado</t>
        </is>
      </c>
      <c r="E11" s="4" t="inlineStr">
        <is>
          <t>Rótulos de carga borrosos; falta fuente editable.</t>
        </is>
      </c>
    </row>
    <row r="12">
      <c r="A12" s="4" t="n">
        <v>8</v>
      </c>
      <c r="B12" s="4" t="inlineStr">
        <is>
          <t>Informe DIALux – Cancha de Fútbol 9</t>
        </is>
      </c>
      <c r="C12" s="4" t="inlineStr">
        <is>
          <t>—</t>
        </is>
      </c>
      <c r="D12" s="4" t="inlineStr">
        <is>
          <t>Pendiente</t>
        </is>
      </c>
      <c r="E12" s="4" t="inlineStr">
        <is>
          <t>Solicitar.</t>
        </is>
      </c>
    </row>
    <row r="13">
      <c r="A13" s="4" t="n">
        <v>9</v>
      </c>
      <c r="B13" s="4" t="inlineStr">
        <is>
          <t>Plano e informe de iluminación – Cancha de Fútbol 6</t>
        </is>
      </c>
      <c r="C13" s="4" t="inlineStr">
        <is>
          <t>—</t>
        </is>
      </c>
      <c r="D13" s="4" t="inlineStr">
        <is>
          <t>Pendiente</t>
        </is>
      </c>
      <c r="E13" s="4" t="inlineStr">
        <is>
          <t>Solicitar o aclarar alcance.</t>
        </is>
      </c>
    </row>
    <row r="14">
      <c r="A14" s="4" t="n">
        <v>10</v>
      </c>
      <c r="B14" s="4" t="inlineStr">
        <is>
          <t>Archivos fotométricos LDT/IES y certificados de producto</t>
        </is>
      </c>
      <c r="C14" s="4" t="inlineStr">
        <is>
          <t>—</t>
        </is>
      </c>
      <c r="D14" s="4" t="inlineStr">
        <is>
          <t>Pendiente</t>
        </is>
      </c>
      <c r="E14" s="4" t="inlineStr">
        <is>
          <t>Solicitar.</t>
        </is>
      </c>
    </row>
    <row r="15">
      <c r="A15" s="4" t="n">
        <v>11</v>
      </c>
      <c r="B15" s="4" t="inlineStr">
        <is>
          <t>Unifilares y cuadros de carga de TB-CM-ADM, TB-GT y TBGCI</t>
        </is>
      </c>
      <c r="C15" s="4" t="inlineStr">
        <is>
          <t>—</t>
        </is>
      </c>
      <c r="D15" s="4" t="inlineStr">
        <is>
          <t>Pendiente</t>
        </is>
      </c>
      <c r="E15" s="4" t="inlineStr">
        <is>
          <t>Solicitar.</t>
        </is>
      </c>
    </row>
    <row r="16">
      <c r="A16" s="4" t="n">
        <v>12</v>
      </c>
      <c r="B16" s="4" t="inlineStr">
        <is>
          <t>Factibilidad / punto de conexión del operador de red</t>
        </is>
      </c>
      <c r="C16" s="4" t="inlineStr">
        <is>
          <t>—</t>
        </is>
      </c>
      <c r="D16" s="4" t="inlineStr">
        <is>
          <t>Pendiente</t>
        </is>
      </c>
      <c r="E16" s="4" t="inlineStr">
        <is>
          <t>Unifilar indica PENDIENTE.</t>
        </is>
      </c>
    </row>
    <row r="17">
      <c r="A17" s="4" t="n">
        <v>13</v>
      </c>
      <c r="B17" s="4" t="inlineStr">
        <is>
          <t>APU del ítem 4.22 y de los ítems nuevos IN14</t>
        </is>
      </c>
      <c r="C17" s="4" t="inlineStr">
        <is>
          <t>—</t>
        </is>
      </c>
      <c r="D17" s="4" t="inlineStr">
        <is>
          <t>Pendiente</t>
        </is>
      </c>
      <c r="E17" s="4" t="inlineStr">
        <is>
          <t>Descartar duplicidades.</t>
        </is>
      </c>
    </row>
    <row r="18">
      <c r="A18" s="4" t="n">
        <v>14</v>
      </c>
      <c r="B18" s="4" t="inlineStr">
        <is>
          <t>Diseño y justificación de luminarias y postes solares</t>
        </is>
      </c>
      <c r="C18" s="4" t="inlineStr">
        <is>
          <t>—</t>
        </is>
      </c>
      <c r="D18" s="4" t="inlineStr">
        <is>
          <t>Pendiente</t>
        </is>
      </c>
      <c r="E18" s="4" t="inlineStr">
        <is>
          <t>Sin respaldo en planos.</t>
        </is>
      </c>
    </row>
  </sheetData>
  <conditionalFormatting sqref="D5:D18">
    <cfRule type="cellIs" priority="1" operator="equal" dxfId="2">
      <formula>"Pendiente"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0" t="inlineStr">
        <is>
          <t>Tipo</t>
        </is>
      </c>
      <c r="B1" s="10" t="inlineStr">
        <is>
          <t>Criticidad</t>
        </is>
      </c>
      <c r="C1" s="10" t="inlineStr">
        <is>
          <t>Estado</t>
        </is>
      </c>
      <c r="D1" s="10" t="inlineStr">
        <is>
          <t>Area</t>
        </is>
      </c>
      <c r="E1" s="10" t="inlineStr">
        <is>
          <t>Resultado</t>
        </is>
      </c>
    </row>
    <row r="2">
      <c r="A2" s="14" t="inlineStr">
        <is>
          <t>Concordancia</t>
        </is>
      </c>
      <c r="B2" s="14" t="inlineStr">
        <is>
          <t>Alta</t>
        </is>
      </c>
      <c r="C2" s="14" t="inlineStr">
        <is>
          <t>Abierta</t>
        </is>
      </c>
      <c r="D2" s="14" t="inlineStr">
        <is>
          <t>Documentación</t>
        </is>
      </c>
      <c r="E2" s="14" t="inlineStr">
        <is>
          <t>Cumple</t>
        </is>
      </c>
    </row>
    <row r="3">
      <c r="A3" s="14" t="inlineStr">
        <is>
          <t>Discrepancia</t>
        </is>
      </c>
      <c r="B3" s="14" t="inlineStr">
        <is>
          <t>Media</t>
        </is>
      </c>
      <c r="C3" s="14" t="inlineStr">
        <is>
          <t>Respondida</t>
        </is>
      </c>
      <c r="D3" s="14" t="inlineStr">
        <is>
          <t>Balance / Actas</t>
        </is>
      </c>
      <c r="E3" s="14" t="inlineStr">
        <is>
          <t>No cumple</t>
        </is>
      </c>
    </row>
    <row r="4">
      <c r="A4" s="14" t="inlineStr">
        <is>
          <t>Incumplimiento normativo</t>
        </is>
      </c>
      <c r="B4" s="14" t="inlineStr">
        <is>
          <t>Baja</t>
        </is>
      </c>
      <c r="C4" s="14" t="inlineStr">
        <is>
          <t>En revisión</t>
        </is>
      </c>
      <c r="D4" s="14" t="inlineStr">
        <is>
          <t>Iluminación (diseño)</t>
        </is>
      </c>
      <c r="E4" s="14" t="inlineStr">
        <is>
          <t>Parcial</t>
        </is>
      </c>
    </row>
    <row r="5">
      <c r="A5" s="14" t="inlineStr">
        <is>
          <t>Información faltante</t>
        </is>
      </c>
      <c r="C5" s="14" t="inlineStr">
        <is>
          <t>Cerrada</t>
        </is>
      </c>
      <c r="D5" s="14" t="inlineStr">
        <is>
          <t>Cálculo de regulación</t>
        </is>
      </c>
      <c r="E5" s="14" t="inlineStr">
        <is>
          <t>No aplica</t>
        </is>
      </c>
    </row>
    <row r="6">
      <c r="A6" s="14" t="inlineStr">
        <is>
          <t>Verificar</t>
        </is>
      </c>
      <c r="C6" s="14" t="inlineStr">
        <is>
          <t>No aplica</t>
        </is>
      </c>
      <c r="D6" s="14" t="inlineStr">
        <is>
          <t>Unifilar / MT / Medida</t>
        </is>
      </c>
      <c r="E6" s="14" t="inlineStr">
        <is>
          <t>Pendiente</t>
        </is>
      </c>
    </row>
    <row r="7">
      <c r="D7" s="14" t="inlineStr">
        <is>
          <t>Tableros y protecciones</t>
        </is>
      </c>
    </row>
    <row r="8">
      <c r="D8" s="14" t="inlineStr">
        <is>
          <t>Ductería y redes</t>
        </is>
      </c>
    </row>
    <row r="9">
      <c r="D9" s="14" t="inlineStr">
        <is>
          <t>Puesta a tierra</t>
        </is>
      </c>
    </row>
    <row r="10">
      <c r="D10" s="14" t="inlineStr">
        <is>
          <t>Otros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2026-10-29T20:18:21Z</dcterms:created>
  <dcterms:modified xmlns:dcterms="http://purl.org/dc/terms/" xmlns:xsi="http://www.w3.org/2001/XMLSchema-instance" xsi:type="dcterms:W3CDTF">2026-10-29T20:18:22Z</dcterms:modified>
</cp:coreProperties>
</file>